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heodoremitchell/CGD Education Dropbox/Education Team Files/Research/Lead/Supplement Meta/input/"/>
    </mc:Choice>
  </mc:AlternateContent>
  <xr:revisionPtr revIDLastSave="0" documentId="13_ncr:1_{DE4AFA7F-CEB7-E747-B441-7DB973C3F763}" xr6:coauthVersionLast="47" xr6:coauthVersionMax="47" xr10:uidLastSave="{00000000-0000-0000-0000-000000000000}"/>
  <bookViews>
    <workbookView xWindow="-2680" yWindow="-21100" windowWidth="38360" windowHeight="16400" xr2:uid="{00D9C3BF-2B53-DC43-818E-10ACBFD75E0E}"/>
  </bookViews>
  <sheets>
    <sheet name="All variables" sheetId="10" r:id="rId1"/>
    <sheet name="including subsets" sheetId="1" r:id="rId2"/>
    <sheet name="Studies" sheetId="8" r:id="rId3"/>
    <sheet name="excluded" sheetId="9" r:id="rId4"/>
    <sheet name="Sheet1" sheetId="7" r:id="rId5"/>
    <sheet name="calcium intake" sheetId="6" r:id="rId6"/>
    <sheet name="calculating bouchouch SDs" sheetId="5" r:id="rId7"/>
    <sheet name="pasted values 6march" sheetId="3" r:id="rId8"/>
    <sheet name="pasted values 6march newer"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 i="10" l="1"/>
  <c r="AE4" i="10"/>
  <c r="AE3" i="10"/>
  <c r="AF4" i="10"/>
  <c r="AF3" i="10"/>
  <c r="AF6" i="10"/>
  <c r="AF5" i="10"/>
  <c r="AE12" i="10"/>
  <c r="AE11" i="10"/>
  <c r="AF9" i="10" l="1"/>
  <c r="AF13" i="10"/>
  <c r="AE13" i="10"/>
  <c r="AF8" i="10"/>
  <c r="AF7" i="10"/>
  <c r="AE7" i="10"/>
  <c r="AF12" i="10"/>
  <c r="AG5" i="10"/>
  <c r="AG6" i="10"/>
  <c r="AG3" i="10"/>
  <c r="AE8" i="10"/>
  <c r="AE6" i="10"/>
  <c r="AE5" i="10"/>
  <c r="AF19" i="10"/>
  <c r="AF20" i="10"/>
  <c r="R5" i="10"/>
  <c r="M5" i="10"/>
  <c r="AF18" i="10"/>
  <c r="AE18" i="10"/>
  <c r="AE19" i="10"/>
  <c r="AF10" i="10" l="1"/>
  <c r="AF17" i="10"/>
  <c r="AF16" i="10"/>
  <c r="AF15" i="10"/>
  <c r="M12" i="10"/>
  <c r="M11" i="10"/>
  <c r="AF2" i="10"/>
  <c r="AE2" i="10"/>
  <c r="AE20" i="10"/>
  <c r="M20" i="10" l="1"/>
  <c r="M19" i="10"/>
  <c r="L19" i="10"/>
  <c r="M18" i="10"/>
  <c r="L18" i="10"/>
  <c r="AE16" i="10"/>
  <c r="M16" i="10"/>
  <c r="AE15" i="10"/>
  <c r="M15" i="10"/>
  <c r="M14" i="10"/>
  <c r="AD13" i="10"/>
  <c r="AB13" i="10"/>
  <c r="Q13" i="10"/>
  <c r="M13" i="10"/>
  <c r="G10" i="10"/>
  <c r="F10" i="10"/>
  <c r="G9" i="10"/>
  <c r="F9" i="10"/>
  <c r="M8" i="10"/>
  <c r="M7" i="10"/>
  <c r="R6" i="10"/>
  <c r="M6" i="10"/>
  <c r="M2" i="10"/>
  <c r="AF52" i="1"/>
  <c r="AF57" i="1"/>
  <c r="R6" i="1"/>
  <c r="AE5" i="9"/>
  <c r="AD5" i="9"/>
  <c r="AF5" i="9" s="1"/>
  <c r="AB5" i="9"/>
  <c r="M5" i="9"/>
  <c r="AE4" i="9"/>
  <c r="AD4" i="9"/>
  <c r="AF4" i="9" s="1"/>
  <c r="AB4" i="9"/>
  <c r="M4" i="9"/>
  <c r="AE3" i="9"/>
  <c r="AD3" i="9"/>
  <c r="AF3" i="9" s="1"/>
  <c r="AB3" i="9"/>
  <c r="M3" i="9"/>
  <c r="AE2" i="9"/>
  <c r="AD2" i="9"/>
  <c r="AF2" i="9" s="1"/>
  <c r="AB2" i="9"/>
  <c r="M2" i="9"/>
  <c r="AF17" i="5"/>
  <c r="AB17" i="5"/>
  <c r="R17" i="5"/>
  <c r="N17" i="5"/>
  <c r="M17" i="5"/>
  <c r="AF16" i="5"/>
  <c r="AB16" i="5"/>
  <c r="R16" i="5"/>
  <c r="N16" i="5"/>
  <c r="M16" i="5" s="1"/>
  <c r="AJ15" i="5"/>
  <c r="AI15" i="5"/>
  <c r="AK15" i="5" s="1"/>
  <c r="AE15" i="5"/>
  <c r="U15" i="5"/>
  <c r="Q15" i="5"/>
  <c r="M15" i="5"/>
  <c r="AJ14" i="5"/>
  <c r="AI14" i="5"/>
  <c r="AK14" i="5" s="1"/>
  <c r="AE14" i="5"/>
  <c r="U14" i="5"/>
  <c r="Q14" i="5"/>
  <c r="M14" i="5"/>
  <c r="AJ13" i="5"/>
  <c r="AI13" i="5"/>
  <c r="AK13" i="5" s="1"/>
  <c r="AE13" i="5"/>
  <c r="U13" i="5"/>
  <c r="Q13" i="5"/>
  <c r="M13" i="5"/>
  <c r="D6" i="6"/>
  <c r="G62" i="1"/>
  <c r="G63" i="1"/>
  <c r="F63" i="1"/>
  <c r="F62" i="1"/>
  <c r="AL5" i="5"/>
  <c r="AL6" i="5"/>
  <c r="AK6" i="5"/>
  <c r="AK5" i="5"/>
  <c r="AI3" i="5"/>
  <c r="AI4" i="5"/>
  <c r="AI2" i="5"/>
  <c r="AE3" i="5"/>
  <c r="AE4" i="5"/>
  <c r="AE2" i="5"/>
  <c r="U3" i="5"/>
  <c r="U4" i="5"/>
  <c r="U2" i="5"/>
  <c r="Q2" i="5"/>
  <c r="Q3" i="5"/>
  <c r="Q4" i="5"/>
  <c r="AN6" i="5"/>
  <c r="AM6" i="5"/>
  <c r="AJ6" i="5"/>
  <c r="AF6" i="5"/>
  <c r="AB6" i="5"/>
  <c r="R6" i="5"/>
  <c r="N6" i="5"/>
  <c r="AN5" i="5"/>
  <c r="AM5" i="5"/>
  <c r="AJ5" i="5"/>
  <c r="AF5" i="5"/>
  <c r="AB5" i="5"/>
  <c r="R5" i="5"/>
  <c r="N5" i="5"/>
  <c r="AJ4" i="5"/>
  <c r="M4" i="5"/>
  <c r="AJ3" i="5"/>
  <c r="M3" i="5"/>
  <c r="AJ2" i="5"/>
  <c r="M2" i="5"/>
  <c r="AF58" i="1"/>
  <c r="AF59" i="1"/>
  <c r="AD46" i="1"/>
  <c r="AB46" i="1"/>
  <c r="Q46" i="1"/>
  <c r="AG19" i="10" l="1"/>
  <c r="AG7" i="10"/>
  <c r="AG18" i="10"/>
  <c r="AG20" i="10"/>
  <c r="M9" i="10"/>
  <c r="AG13" i="10"/>
  <c r="AG15" i="10"/>
  <c r="AG8" i="10"/>
  <c r="AG16" i="10"/>
  <c r="AG2" i="9"/>
  <c r="AG4" i="9"/>
  <c r="AG3" i="9"/>
  <c r="AG5" i="9"/>
  <c r="AL15" i="5"/>
  <c r="AL14" i="5"/>
  <c r="AL13" i="5"/>
  <c r="AK4" i="5"/>
  <c r="AK3" i="5"/>
  <c r="AK2" i="5"/>
  <c r="AL2" i="5" s="1"/>
  <c r="M5" i="5"/>
  <c r="M6" i="5"/>
  <c r="AL3" i="5"/>
  <c r="AL4" i="5"/>
  <c r="AI61" i="1"/>
  <c r="AI60" i="1"/>
  <c r="AH61" i="1"/>
  <c r="AH60" i="1"/>
  <c r="AE61" i="1"/>
  <c r="AE60" i="1"/>
  <c r="AE59" i="1"/>
  <c r="AG59" i="1" s="1"/>
  <c r="AE58" i="1"/>
  <c r="AG58" i="1" s="1"/>
  <c r="AE57" i="1"/>
  <c r="AG57" i="1" s="1"/>
  <c r="AC61" i="1"/>
  <c r="AA61" i="1"/>
  <c r="AC60" i="1"/>
  <c r="AA60" i="1"/>
  <c r="P61" i="1"/>
  <c r="N61" i="1"/>
  <c r="P60" i="1"/>
  <c r="N60" i="1"/>
  <c r="M59" i="1"/>
  <c r="M58" i="1"/>
  <c r="M57" i="1"/>
  <c r="AE56" i="1"/>
  <c r="AE55" i="1"/>
  <c r="M56" i="1"/>
  <c r="M55" i="1"/>
  <c r="L56" i="1"/>
  <c r="L55" i="1"/>
  <c r="M52" i="1"/>
  <c r="M51" i="1"/>
  <c r="M50" i="1"/>
  <c r="M46" i="1"/>
  <c r="M7" i="1"/>
  <c r="M8" i="1"/>
  <c r="M6" i="1"/>
  <c r="M3" i="1"/>
  <c r="M4" i="1"/>
  <c r="M2" i="1"/>
  <c r="AF51" i="1"/>
  <c r="AE52" i="1"/>
  <c r="AE51" i="1"/>
  <c r="AF46" i="1"/>
  <c r="AG46" i="1" s="1"/>
  <c r="F26" i="1"/>
  <c r="F27" i="1"/>
  <c r="F25" i="1"/>
  <c r="G38" i="1"/>
  <c r="G39" i="1"/>
  <c r="G37" i="1"/>
  <c r="F38" i="1"/>
  <c r="F39" i="1"/>
  <c r="F37" i="1"/>
  <c r="G35" i="1"/>
  <c r="G36" i="1"/>
  <c r="F35" i="1"/>
  <c r="F36" i="1"/>
  <c r="G34" i="1"/>
  <c r="G32" i="1"/>
  <c r="G33" i="1"/>
  <c r="G31" i="1"/>
  <c r="F34" i="1"/>
  <c r="F32" i="1"/>
  <c r="F33" i="1"/>
  <c r="F31" i="1"/>
  <c r="F29" i="1"/>
  <c r="G29" i="1"/>
  <c r="F30" i="1"/>
  <c r="G30" i="1"/>
  <c r="G28" i="1"/>
  <c r="F28" i="1"/>
  <c r="F10" i="1"/>
  <c r="F13" i="1" s="1"/>
  <c r="F16" i="1" s="1"/>
  <c r="G10" i="1"/>
  <c r="G13" i="1" s="1"/>
  <c r="G16" i="1" s="1"/>
  <c r="G9" i="1"/>
  <c r="G11" i="1" s="1"/>
  <c r="G14" i="1" s="1"/>
  <c r="G17" i="1" s="1"/>
  <c r="F9" i="1"/>
  <c r="F11" i="1" s="1"/>
  <c r="F14" i="1" s="1"/>
  <c r="F17" i="1" s="1"/>
  <c r="AF8" i="1"/>
  <c r="AF7" i="1"/>
  <c r="AE7" i="1"/>
  <c r="AE8" i="1"/>
  <c r="AE6" i="1"/>
  <c r="M61" i="1" l="1"/>
  <c r="M60" i="1"/>
  <c r="AF56" i="1"/>
  <c r="AG56" i="1" s="1"/>
  <c r="AF55" i="1"/>
  <c r="AG55" i="1" s="1"/>
  <c r="M9" i="1"/>
  <c r="AG7" i="1"/>
  <c r="AG51" i="1"/>
  <c r="AG52" i="1"/>
  <c r="G12" i="1"/>
  <c r="G15" i="1" s="1"/>
  <c r="F12" i="1"/>
  <c r="F15" i="1" s="1"/>
  <c r="AG8" i="1"/>
  <c r="AF11" i="10"/>
</calcChain>
</file>

<file path=xl/sharedStrings.xml><?xml version="1.0" encoding="utf-8"?>
<sst xmlns="http://schemas.openxmlformats.org/spreadsheetml/2006/main" count="6964" uniqueCount="592">
  <si>
    <t>Study</t>
  </si>
  <si>
    <t>Study Design</t>
  </si>
  <si>
    <t>Country</t>
  </si>
  <si>
    <t>baseline calcium mean</t>
  </si>
  <si>
    <t>baseline calcium SD</t>
  </si>
  <si>
    <t>baseline iron mean</t>
  </si>
  <si>
    <t>baseline iron sd</t>
  </si>
  <si>
    <t>dosage (amount per time unit)</t>
  </si>
  <si>
    <t>duration of supplementation</t>
  </si>
  <si>
    <t>mode of administration</t>
  </si>
  <si>
    <t>comparison group (placebo, no intervention, low-calcium diet)</t>
  </si>
  <si>
    <t>calcium intake in control group (in diet)</t>
  </si>
  <si>
    <t>Environmental lead exposure (high or ow risk)</t>
  </si>
  <si>
    <t>Other nutrient supplementation (iron, Vit D)</t>
  </si>
  <si>
    <t>Dropout rate</t>
  </si>
  <si>
    <t>RCT</t>
  </si>
  <si>
    <t>6 months</t>
  </si>
  <si>
    <t>Rosado et al. 2006​</t>
  </si>
  <si>
    <t>Zimmermann et al. 2006</t>
  </si>
  <si>
    <t>Wolf et al. 2003</t>
  </si>
  <si>
    <t>Markowitz et al. 2004</t>
  </si>
  <si>
    <t>Sargent et al. 1999</t>
  </si>
  <si>
    <t>Hernández-Avila et al. 2003</t>
  </si>
  <si>
    <t>Ettinger et al. 2009</t>
  </si>
  <si>
    <t>Keating et al. 2011</t>
  </si>
  <si>
    <t>Mexico</t>
  </si>
  <si>
    <t>India</t>
  </si>
  <si>
    <t>USA</t>
  </si>
  <si>
    <t>Cotsa Rica</t>
  </si>
  <si>
    <t>Nigeria</t>
  </si>
  <si>
    <t>5 to 9</t>
  </si>
  <si>
    <t>6 to 7</t>
  </si>
  <si>
    <t>1 to 2</t>
  </si>
  <si>
    <t>1 to 6</t>
  </si>
  <si>
    <t>0.3 to 0.5</t>
  </si>
  <si>
    <t>1st trimester</t>
  </si>
  <si>
    <t>Child age at start of trial</t>
  </si>
  <si>
    <t>Mother age at start of trial</t>
  </si>
  <si>
    <t>n/a</t>
  </si>
  <si>
    <t>12 to 18</t>
  </si>
  <si>
    <t>supplement compound</t>
  </si>
  <si>
    <t>Supplementation Duration (months)</t>
  </si>
  <si>
    <t>Placebo</t>
  </si>
  <si>
    <t>Placebo (for iron sufficient group)</t>
  </si>
  <si>
    <t>Standard formula (465 mg Ca/L)</t>
  </si>
  <si>
    <t>Placebo (vitamin A only, no added Ca)</t>
  </si>
  <si>
    <t>iron</t>
  </si>
  <si>
    <t>zinc</t>
  </si>
  <si>
    <t>iron and zinc</t>
  </si>
  <si>
    <t>1,800 mg Ca/day</t>
  </si>
  <si>
    <t>intramuscular iron then oral iron</t>
  </si>
  <si>
    <t>3 months</t>
  </si>
  <si>
    <t>not yet sure</t>
  </si>
  <si>
    <t>oral</t>
  </si>
  <si>
    <t>30mg Fe/day</t>
  </si>
  <si>
    <t>30mg Zn/day</t>
  </si>
  <si>
    <t xml:space="preserve">30mg Fe/day + 30mg Zn/day </t>
  </si>
  <si>
    <t>Calcium glycerophosphate</t>
  </si>
  <si>
    <t>465 mg Ca/L; also higher phosphorus</t>
  </si>
  <si>
    <t>Ferric pyrophosphate Fe₄(P₂O₇)₃</t>
  </si>
  <si>
    <t>baby formula</t>
  </si>
  <si>
    <t>Calcium carbonate</t>
  </si>
  <si>
    <t>9 months</t>
  </si>
  <si>
    <t>6 months (during breastfeeding)</t>
  </si>
  <si>
    <t>6 months (2nd and 3rd trimester)</t>
  </si>
  <si>
    <t>High-calcium food (ground fish)</t>
  </si>
  <si>
    <t>400 mg Ca/day</t>
  </si>
  <si>
    <t>1,200 mg Ca/day</t>
  </si>
  <si>
    <t>500 mg Ca/day</t>
  </si>
  <si>
    <t>food</t>
  </si>
  <si>
    <t>Sofyani &amp; Lelo 2017</t>
  </si>
  <si>
    <t>Indonesia</t>
  </si>
  <si>
    <t>Téllez-Rojo et al. 2006</t>
  </si>
  <si>
    <t>Case-Control</t>
  </si>
  <si>
    <t>Haryanto et al. 2015</t>
  </si>
  <si>
    <t>Rico et al. 2006</t>
  </si>
  <si>
    <t>baseline BLL control group SD</t>
  </si>
  <si>
    <t>baseline BLL treatment group SD</t>
  </si>
  <si>
    <t>2 x 400 mg Ca/day</t>
  </si>
  <si>
    <t>8 to 12</t>
  </si>
  <si>
    <t>2.1 (median)</t>
  </si>
  <si>
    <t>baseline BLL control group mean µg/dL</t>
  </si>
  <si>
    <t>baseline BLL treatment group mean µg/dL</t>
  </si>
  <si>
    <t>2.04 (median)</t>
  </si>
  <si>
    <t>2.1 to 9 (range)</t>
  </si>
  <si>
    <t>0.4 to 12 (range)</t>
  </si>
  <si>
    <t>post intervention BLL treatment group mean µg/dL</t>
  </si>
  <si>
    <t>post intervention BLL treatment group SD</t>
  </si>
  <si>
    <t>post intervention BLL control group mean µg/dL</t>
  </si>
  <si>
    <t>post intervention BLL control group SD</t>
  </si>
  <si>
    <t>0.41 to 12.1 (range)</t>
  </si>
  <si>
    <t>statistical significance (p-value)</t>
  </si>
  <si>
    <t>p&lt;0.01</t>
  </si>
  <si>
    <t>Blood lead measurement tool</t>
  </si>
  <si>
    <t>atomic absorption spectrophotometry using a PerkinElmer spectrophotometer</t>
  </si>
  <si>
    <t>not stated</t>
  </si>
  <si>
    <t>No intervention</t>
  </si>
  <si>
    <t>not measured but food questionnaire done</t>
  </si>
  <si>
    <t>high traffic density in medan</t>
  </si>
  <si>
    <t>Quasi Experimental (control group has no intervention instead of placebo, otherwise the study is randomised) (compliance not measured)</t>
  </si>
  <si>
    <t>diets statistics given, some malnutrition</t>
  </si>
  <si>
    <t>representative study in the area</t>
  </si>
  <si>
    <t>not measured</t>
  </si>
  <si>
    <t>even</t>
  </si>
  <si>
    <t>9 to 12</t>
  </si>
  <si>
    <t>not mentioned</t>
  </si>
  <si>
    <t>Sofyani et al. 2020</t>
  </si>
  <si>
    <t>atomic absorption spectrophotometry (AAS) using a Perkin-Elmer spectrophotometer</t>
  </si>
  <si>
    <t>not stated, calcium</t>
  </si>
  <si>
    <t xml:space="preserve">not measured  </t>
  </si>
  <si>
    <t>no</t>
  </si>
  <si>
    <t>sex distribution (% male)</t>
  </si>
  <si>
    <t>Main effect: Difference in mean BLL (Tt2-Tt1)-(Ct2-Ct1)</t>
  </si>
  <si>
    <t>(not specified, they did SD's of the difference not the final result)</t>
  </si>
  <si>
    <t>(not specified, they did SD's of the difference not the final result) - chatgpt thinks we can impute this if we assume equal variance across groups. SEdiff​=sqrt(((SD1^2))/n1)+((SD2^2))/n2))</t>
  </si>
  <si>
    <t>(not specified, they did p values of the Tt2-Tt1 difference, not the final result) but from our imputed SE, it is not significant</t>
  </si>
  <si>
    <t>iron (ferrous fumarate)</t>
  </si>
  <si>
    <t>zinc (zinc oxide)</t>
  </si>
  <si>
    <t>7 months</t>
  </si>
  <si>
    <t>8 months</t>
  </si>
  <si>
    <t>lived within 3.5km of smelter</t>
  </si>
  <si>
    <t>517 out of 602 (85.9%) completed supplementation and had initial and final PbB values (implying about 14% dropout rate)</t>
  </si>
  <si>
    <t>Iron group: 46 boys / 20 girls, Control group: 34 boys / 34 girls</t>
  </si>
  <si>
    <t>15 mg Fe/day (6 days/week)</t>
  </si>
  <si>
    <t>iron fortified food, Fortified rice meal, consumed at midday under supervision</t>
  </si>
  <si>
    <t>Placebo: Identical food without iron</t>
  </si>
  <si>
    <t>Urban environment in Bangalore, India</t>
  </si>
  <si>
    <t>all meals had other nutrients</t>
  </si>
  <si>
    <t>4 children absent at retesting (3 from iron group, 1 from control group)</t>
  </si>
  <si>
    <t>Were the kids iron or calcium deficient?</t>
  </si>
  <si>
    <t>only iron deificient children were chosen for the study</t>
  </si>
  <si>
    <t>no (10% had iron defiicnecy, 12% were anemic)</t>
  </si>
  <si>
    <t>Notes</t>
  </si>
  <si>
    <t>the baseline BLLs were measured 14 weeks into the study, but the %EBLL are the same from wk1 (a subsample) and wk14. at wk14 they were also dewormed. They don’t provide info for how the 14 weeks affcts the results, but confidently state the effect size.</t>
  </si>
  <si>
    <t>Treatment  Group Sample Size (at outcome measurement)</t>
  </si>
  <si>
    <t>Control group Sample Size (at outcome measurement)</t>
  </si>
  <si>
    <t>5.775 (estimated from 3.7 to 26.8 range)</t>
  </si>
  <si>
    <t>12.0 (estimated from 12.0 median)</t>
  </si>
  <si>
    <t>5.425 (estimates from 3.8 to 25.5 range)</t>
  </si>
  <si>
    <t>12.1 (estimated from 12.1 median)</t>
  </si>
  <si>
    <t>8.1 (estimated from median)</t>
  </si>
  <si>
    <t>10.2 (estimated from median)</t>
  </si>
  <si>
    <t>4.7 (estimated from 3.1 to 21.9 range)</t>
  </si>
  <si>
    <t>5.225 (estimated from 4.4 to 25.3 range)</t>
  </si>
  <si>
    <t>Median, sample size and range to mean and SD estimates use Wan et al 2014</t>
  </si>
  <si>
    <t>1.29 (estimated: SEdiff​=sqrt(((SD1^2))/n1)+((SD2^2))/n2))), assumes equal variance across groups)</t>
  </si>
  <si>
    <t>0.1999067493130363 (estimated: SEdiff​=sqrt(((SD1^2))/n1)+((SD2^2))/n2))), assumes equal variance across groups)</t>
  </si>
  <si>
    <t>0.20237016800339502 (estimated: SEdiff​=sqrt(((SD1^2))/n1)+((SD2^2))/n2))), assumes equal variance across groups)</t>
  </si>
  <si>
    <t>0.19574640215996722 (estimated: SEdiff​=sqrt(((SD1^2))/n1)+((SD2^2))/n2))), assumes equal variance across groups)</t>
  </si>
  <si>
    <t>p&lt;0.1</t>
  </si>
  <si>
    <t>atomic absorption spectrophotometry (AAS) with a graphite furnace detector - Instrument Used: Zeeman 5100, Perkin Elmer</t>
  </si>
  <si>
    <t>anodic stripping voltammetry (ASV) with an ESA model 3010B blood lead analyzer (ESA, Chelmsford, MA).</t>
  </si>
  <si>
    <t>If you do want to include these, you'll need four rows, (fourth is control) and change your outcome to Standardized Mean Differences (like lees meta it does standard deviations)</t>
  </si>
  <si>
    <t xml:space="preserve"> (67 of 88 completed)</t>
  </si>
  <si>
    <t>Calcium glubionate</t>
  </si>
  <si>
    <t xml:space="preserve">liquid  (115 mg elemental Ca/5 mL) 3 portions a day taken before meals. </t>
  </si>
  <si>
    <t>1108 ± 465 mg/day (placebo group) vs. 973 ± 409 mg/day (calcium group) at enrollment</t>
  </si>
  <si>
    <t xml:space="preserve">Vit d measured. </t>
  </si>
  <si>
    <t>(iron deficient kids only) (also children were dewormed at beginning of study)</t>
  </si>
  <si>
    <t>iron deficient kids EXCLUDED otherwise representative study in the area</t>
  </si>
  <si>
    <t>medium-risk (inner-city children with documented lead exposure from paint and dust) in bronx NY</t>
  </si>
  <si>
    <t xml:space="preserve">no  </t>
  </si>
  <si>
    <t>included a follow up 3 months after supplementation stopped. results not included here. compliance 82 +- 18% and 84 +- 16% for the placebo</t>
  </si>
  <si>
    <t>1.66 (estimated: SEdiff​=sqrt(((SD1^2))/n1)+((SD2^2))/n2))), assumes equal variance across groups)</t>
  </si>
  <si>
    <t>p=0.369</t>
  </si>
  <si>
    <t>Perkin Elmer 4110 ZL Atomic Absorption Spectrometer - Flameless Atomic Absorption Spectrometry (AAS)</t>
  </si>
  <si>
    <t>4 months</t>
  </si>
  <si>
    <t>exclusion criteria: 1) the parent and infant resided in a geographic area identified as high risk of lead exposure; 2) the infant was drinking ≥ 600 mL (20 oz) cow milk–based formula/d; 3) the infant was between 2.5 and 5 mo of age; 4) the infant’s birth weight was &gt; 2.0 kg; 5) the infant’s length and weight were above the 5th percentile for age; 6) there was no history of kidney stones in first-degree relatives; 7) the infant had no history of rickets, parathyroid dysfunction, or a recent fracture; 8) the infant was not taking supplemental multivitamins or, if he or she was, the parent was willing to discontinue them; and 9) the infant was not chronically taking medications other than antihistamine decongestants, fluoride supplements, or prophylactic antibiotics to prevent recurrent otitis media</t>
  </si>
  <si>
    <t>many excluion criteria, not representative</t>
  </si>
  <si>
    <t>representative study?</t>
  </si>
  <si>
    <t>living in high risk area</t>
  </si>
  <si>
    <t>Some children (13 total: 5 control, 8 supplemented) received iron supplements due to low serum ferritin concentrations</t>
  </si>
  <si>
    <t>21%, 11 control, 11 treatment</t>
  </si>
  <si>
    <t>1600 mg/day</t>
  </si>
  <si>
    <t>1730 mg/day</t>
  </si>
  <si>
    <t>anodic stripping voltammetry (ASV) a modification of the method in the Environmental Science Associates (Boston) instruction manual for the 3010A Trace Metal Analyzer</t>
  </si>
  <si>
    <t>83% retention rate</t>
  </si>
  <si>
    <t>breastfeeding, calcium given to mother</t>
  </si>
  <si>
    <t>only maternal blood lead measured.</t>
  </si>
  <si>
    <t>n/a (0.08-0.25)</t>
  </si>
  <si>
    <t>n/a (mothers measured)</t>
  </si>
  <si>
    <t>3 months (during breastfeeding)</t>
  </si>
  <si>
    <t>1 month postpartum</t>
  </si>
  <si>
    <t>SE of Main effect on BLL (not SD!)</t>
  </si>
  <si>
    <t>What seperates this row from the other</t>
  </si>
  <si>
    <t>4 month</t>
  </si>
  <si>
    <t>9 month</t>
  </si>
  <si>
    <t>3 month, full sample</t>
  </si>
  <si>
    <t>9 month, full sample</t>
  </si>
  <si>
    <t>9 month, excludes halfway dropouts</t>
  </si>
  <si>
    <t>3 month, full sample, high compliance only (50% pills)</t>
  </si>
  <si>
    <t>9 month, full sample, high compliance only (50% pills)</t>
  </si>
  <si>
    <t>9 month, excludes halfway dropouts, high compliance only (50% pills)</t>
  </si>
  <si>
    <t>3 month, full sample, high compliance only (50% pills), baseline patella lead &gt;10 mcg-Pb/gm bone mineral</t>
  </si>
  <si>
    <t>9 month, full sample, high compliance only (50% pills), baseline patella lead &gt;10 mcg-Pb/gm bone mineral</t>
  </si>
  <si>
    <t>9 month, excludes halfway dropouts, high compliance only (50% pills), baseline patella lead &gt;10 mcg-Pb/gm bone mineral</t>
  </si>
  <si>
    <t>3 month, full sample, high compliance only (50% pills), baseline patella lead &gt;15 mcg-Pb/gm bone mineral</t>
  </si>
  <si>
    <t>9 month, full sample, high compliance only (50% pills), baseline patella lead &gt;15 mcg-Pb/gm bone mineral</t>
  </si>
  <si>
    <t>9 month, excludes halfway dropouts, high compliance only (50% pills), baseline patella lead &gt;15 mcg-Pb/gm bone mineral</t>
  </si>
  <si>
    <t>CI -0.71 to 0.46</t>
  </si>
  <si>
    <t>CI -0.77 to 0.34</t>
  </si>
  <si>
    <t>CI -0.85 to 0.26</t>
  </si>
  <si>
    <t>CI -0.91 to 0.59</t>
  </si>
  <si>
    <t>CI -1.34 to 0.22</t>
  </si>
  <si>
    <t>CI -.146 to 0.028</t>
  </si>
  <si>
    <t>CI -0.93 to 0.84</t>
  </si>
  <si>
    <t>CI -1.80 to 0.001</t>
  </si>
  <si>
    <t>CI -2.08 to -0.23</t>
  </si>
  <si>
    <t>CI -1.12 t 0.74</t>
  </si>
  <si>
    <t>CI -2.17 to -0.20</t>
  </si>
  <si>
    <t>CI -2.48 to -0.45</t>
  </si>
  <si>
    <t>CI -1.26 to 0.82</t>
  </si>
  <si>
    <t>CI -2.65 to -0.42</t>
  </si>
  <si>
    <t>CI -3.01 to -0.71</t>
  </si>
  <si>
    <t>Perkin Elmer 3000 Technique: Graphite Furnace Atomic Absorption Spectroscopy (GFAAS</t>
  </si>
  <si>
    <t>10-30% used lead glazed ceramics</t>
  </si>
  <si>
    <t>yes, but some dropout and some refused to breastfeed.</t>
  </si>
  <si>
    <t>900 mg Ca/day from diet</t>
  </si>
  <si>
    <t>1,137 mg/day (SD 597)</t>
  </si>
  <si>
    <t xml:space="preserve">Calcium carbonate </t>
  </si>
  <si>
    <t>3-6 months avg (2nd and 3rd trimester)</t>
  </si>
  <si>
    <t>3 months (2nd trimester)</t>
  </si>
  <si>
    <t>3 months (1st trimester)</t>
  </si>
  <si>
    <t xml:space="preserve">main result - full sample 3-6 month average </t>
  </si>
  <si>
    <t>full sample, 2&amp;3 trimaster average. log transformed effect size</t>
  </si>
  <si>
    <t>full sample, 3rd semester (log transforemed effect size)</t>
  </si>
  <si>
    <t>full sample, 2nd semester, (log transforemed effect size)</t>
  </si>
  <si>
    <t>subsample &lt;50 compliace, 2&amp;3 trimaster average. log transformed effect size</t>
  </si>
  <si>
    <t>subsample &lt;50 compliace, 3rd semester (log transforemed effect size)</t>
  </si>
  <si>
    <t>subsample &lt;50 compliace, 2nd semester, (log transforemed effect size)</t>
  </si>
  <si>
    <t>subsample &gt;50 compliace, 2&amp;3 trimaster average. log transformed effect size</t>
  </si>
  <si>
    <t>subsample &gt;50 compliace, 3rd semester (log transforemed effect size)</t>
  </si>
  <si>
    <t>subsample &gt;50 compliace, 2nd semester, (log transforemed effect size)</t>
  </si>
  <si>
    <t>subsample &gt;67 compliace, 2&amp;3 trimaster average. log transformed effect size</t>
  </si>
  <si>
    <t>subsample &gt;67 compliace, 3rd semester (log transforemed effect size)</t>
  </si>
  <si>
    <t>subsample &gt;67 compliace, 2nd semester, (log transforemed effect size)</t>
  </si>
  <si>
    <t>subsample &gt;70 compliace, 2&amp;3 trimaster average. log transformed effect size</t>
  </si>
  <si>
    <t>subsample &gt;70  compliace, 3rd semester (log transforemed effect size)</t>
  </si>
  <si>
    <t>subsample &gt;70  compliace, 2nd semester, (log transforemed effect size)</t>
  </si>
  <si>
    <t>subsample &lt;5mcgdl</t>
  </si>
  <si>
    <t>subsample &gt;5mcgdl</t>
  </si>
  <si>
    <t>subsample &lt;5mcgdl and &gt;50% compliance</t>
  </si>
  <si>
    <t>subsample &gt;5mcgdl and &gt;50% compliance</t>
  </si>
  <si>
    <t>subsample &lt;5mcgdl and &lt;50% compliance</t>
  </si>
  <si>
    <t>subsample &gt;5mcgdl and &lt;50% compliance</t>
  </si>
  <si>
    <t>%∆ 20% (absolute BLL change 0.79 mcg/dl assuming 3.95 mean baseline within compliance group)</t>
  </si>
  <si>
    <t>%∆ 9% (absolute BLL change 0.355 cg/dl assuming 3.95 mean baseline within compliance group)</t>
  </si>
  <si>
    <t>%∆ -15% (absolute BLL change -0.59 cg/dl assuming 3.95 mean baseline within compliance group)</t>
  </si>
  <si>
    <t>%∆ -20% (absolute BLL change  -0.79g/dl assuming 3.95 mean baseline within compliance group)</t>
  </si>
  <si>
    <t>%∆ -8% (absolute BLL change -0.316 mcg/dl assuming 3.95 mean baseline within compliance group)</t>
  </si>
  <si>
    <t>%∆ -14% (absolute BLL change -0.553 mcg/dl assuming 3.95 mean baseline within compliance group)</t>
  </si>
  <si>
    <t>%∆ -10% (absolute BLL change -0.395 cg/dl assuming 3.95 mean baseline within compliance group)</t>
  </si>
  <si>
    <t>%∆ -19% (absolute BLL change -0.75 mcg/dl assuming 3.95 mean baseline within compliance group)</t>
  </si>
  <si>
    <t>%∆ -24% (absolute BLL change -0.948 mcg/dl assuming 3.95 mean baseline within compliance group)</t>
  </si>
  <si>
    <t>%∆ -11% (absolute BLL change -0.4345 mcg/dl assuming 3.95 mean baseline within compliance group)</t>
  </si>
  <si>
    <t>%∆ -19% (absolute BLL change -0.7505 mcg/dl assuming 3.95 mean baseline within compliance group)</t>
  </si>
  <si>
    <t>%∆ -11% (absolute BLL change -0.45 mcg/dl assuming 3.95 mean baseline within compliance group)</t>
  </si>
  <si>
    <t>%∆ 35% (absolute BLL change 1.38 cg/dl assuming 3.95 mean baseline within compliance group)</t>
  </si>
  <si>
    <t>%∆ -27% (absolute BLL change -1.08656 mcg/dl assuming 3.95 mean baseline within compliance group)</t>
  </si>
  <si>
    <t>can be estimated</t>
  </si>
  <si>
    <t>0.004 (all below are from original log regression, not from estimated absolute effects)</t>
  </si>
  <si>
    <t>&lt;5mcg/dl</t>
  </si>
  <si>
    <t>&gt;5mcg/dl</t>
  </si>
  <si>
    <t xml:space="preserve">%∆ -7% </t>
  </si>
  <si>
    <t xml:space="preserve">%∆ -17% </t>
  </si>
  <si>
    <t xml:space="preserve">%∆ -14% </t>
  </si>
  <si>
    <t xml:space="preserve">%∆ -34% </t>
  </si>
  <si>
    <t>many used ceramics</t>
  </si>
  <si>
    <t>35% used lead ceramics</t>
  </si>
  <si>
    <t>low income rural</t>
  </si>
  <si>
    <t>15.7% of 670 paricipants Higher retention in the calcium group than in the placebo group (13.8% vs. 17.6%).</t>
  </si>
  <si>
    <t>third trimester</t>
  </si>
  <si>
    <t>Calcium</t>
  </si>
  <si>
    <t>1200 mg Ca/day</t>
  </si>
  <si>
    <t>2.5-5 month avg</t>
  </si>
  <si>
    <t>placebo</t>
  </si>
  <si>
    <t>cant access</t>
  </si>
  <si>
    <t>5 months</t>
  </si>
  <si>
    <t>2.5 months</t>
  </si>
  <si>
    <t>%∆ -11</t>
  </si>
  <si>
    <t>%∆ -14</t>
  </si>
  <si>
    <t>%∆ -7</t>
  </si>
  <si>
    <t>250mg Ca/day</t>
  </si>
  <si>
    <t>500mg Ca/day</t>
  </si>
  <si>
    <t>9 to 11</t>
  </si>
  <si>
    <t>equal</t>
  </si>
  <si>
    <t>25.5% (102 out of 400), mostly due to school schedules and high humidity affecting sample analysis</t>
  </si>
  <si>
    <t>Majority from Kampong slum areas</t>
  </si>
  <si>
    <t>diet measured</t>
  </si>
  <si>
    <t xml:space="preserve">urban Kampong slum </t>
  </si>
  <si>
    <t>oral (Chewable tablet (Calcium Sandoz Junior, chocolate flavored)_</t>
  </si>
  <si>
    <t>Low dietary calcium intake (~55% of adequate intake)</t>
  </si>
  <si>
    <t>250 Ca mg/day</t>
  </si>
  <si>
    <t>500 Ca mg/day</t>
  </si>
  <si>
    <t>Portable Lead Care Analyzer (ESA, Inc., Chelmsford, MA).</t>
  </si>
  <si>
    <t>6 to 8</t>
  </si>
  <si>
    <t xml:space="preserve">zinc  </t>
  </si>
  <si>
    <t>calcium, compound not stated</t>
  </si>
  <si>
    <t>oral (administered in schools)</t>
  </si>
  <si>
    <t>mixed SES backgriund</t>
  </si>
  <si>
    <t>atomic absorption spectrophotometry</t>
  </si>
  <si>
    <t>measured cognition, found results</t>
  </si>
  <si>
    <t>yes, 51% had BLL levels _x0003_10 _x0001_g/dL. The overall prevalence of children with depleted iron stores (SF _x0002_15 _x0001_g/L) and zinc deficiency (SZn _x0004_65 _x0001_g/dL) was 21.7% and 28.9%, respectively.</t>
  </si>
  <si>
    <t>high,</t>
  </si>
  <si>
    <t>3 to 6</t>
  </si>
  <si>
    <t>91% compliance</t>
  </si>
  <si>
    <t>95% CI -0.6 to -0.04</t>
  </si>
  <si>
    <t>iron and iron+zinc average</t>
  </si>
  <si>
    <t>30mg Fe/day  and ( 30mg Fe/day + 30mg Zn/day ) average</t>
  </si>
  <si>
    <t>95% CI -0.2 to 0.3</t>
  </si>
  <si>
    <t>not significant</t>
  </si>
  <si>
    <t>significant</t>
  </si>
  <si>
    <t>Publication Year</t>
  </si>
  <si>
    <t>Study Id</t>
  </si>
  <si>
    <t>rosado has measurements of another six months after supplementation, how to includein eta analysis? could add a column called (follow up duration) and make it zero for all others.</t>
  </si>
  <si>
    <t>Lower 95% CI of main effect</t>
  </si>
  <si>
    <t>Higher 95% CI of main effect</t>
  </si>
  <si>
    <t>Notes (Sample exclusion criteria)</t>
  </si>
  <si>
    <t>notes on main effect, SE, CI</t>
  </si>
  <si>
    <t>(SE estimated: SEdiff​=sqrt(((SD1^2))/n1)+((SD2^2))/n2))), assumes equal variance across groups)</t>
  </si>
  <si>
    <t>(Main effect calculated from differences in T and C means (Tt2-Tt1)-(Ct2-Ct1) )(SE estimated: SEdiff​=sqrt(((SD1^2))/n1)+((SD2^2))/n2))), assumes equal variance across groups)</t>
  </si>
  <si>
    <t>(Main effect calculated from differences in T and C means (Tt2-Tt1)-(Ct2-Ct1) )(SE estimated: SEdiff​=sqrt(((SD1^2))/n1)+((SD2^2))/n2))), assumes equal variance across groups) (pvalue calculated with =T.DIST.2T(ABS(V7/W7), D7+E7-2))</t>
  </si>
  <si>
    <t>∆% and pvalues on old sheet</t>
  </si>
  <si>
    <t>SE and pvalues calcuated from CI</t>
  </si>
  <si>
    <t>(SE calcuated from CI)</t>
  </si>
  <si>
    <t>%∆ -11%</t>
  </si>
  <si>
    <t>%∆ -14%</t>
  </si>
  <si>
    <t>%∆ -7%</t>
  </si>
  <si>
    <t>post int BLL trt group mean µg/dL</t>
  </si>
  <si>
    <t>post  BLL trt group SD</t>
  </si>
  <si>
    <t>post int BLL ctrl group mean µg/dL</t>
  </si>
  <si>
    <t>post int BLL ctrl group SD</t>
  </si>
  <si>
    <t>CI -0.6 to -0.04</t>
  </si>
  <si>
    <t>CI -0.2 to 0.3</t>
  </si>
  <si>
    <t>6 month, full sample</t>
  </si>
  <si>
    <t>6 month, excludes halfway dropouts</t>
  </si>
  <si>
    <t>6 month, full sample, high compliance only (50% pills)</t>
  </si>
  <si>
    <t>6 month, excludes halfway dropouts, high compliance only (50% pills)</t>
  </si>
  <si>
    <t>6 month, full sample, high compliance only (50% pills), baseline patella lead &gt;10 mcg-Pb/gm bone mineral</t>
  </si>
  <si>
    <t>6 month, excludes halfway dropouts, high compliance only (50% pills), baseline patella lead &gt;10 mcg-Pb/gm bone mineral</t>
  </si>
  <si>
    <t>6 month, full sample, high compliance only (50% pills), baseline patella lead &gt;15 mcg-Pb/gm bone mineral</t>
  </si>
  <si>
    <t>6 month, excludes halfway dropouts, high compliance only (50% pills), baseline patella lead &gt;15 mcg-Pb/gm bone mineral</t>
  </si>
  <si>
    <t>supplement element</t>
  </si>
  <si>
    <t>calcium</t>
  </si>
  <si>
    <t>population_group</t>
  </si>
  <si>
    <t>child</t>
  </si>
  <si>
    <t>mother</t>
  </si>
  <si>
    <t>Whole sample BLL baseline mean</t>
  </si>
  <si>
    <t>Quasi Experimental (village level randomisation, differing baselines, no placebo (all groups got vit A)</t>
  </si>
  <si>
    <t>42.8% dropout</t>
  </si>
  <si>
    <t>(Main effect calculated from differences in T and C means (Tt2-Tt1)-(Ct2-Ct1) )(SE estimated: SEdiff​=sqrt(((SD1^2))/n1)+((SD2^2))/n2))), assumes equal variance across groups) (other SE's calculated from SD's)</t>
  </si>
  <si>
    <t>Atomic absorption spectrophotometry (LeadTech Corp)</t>
  </si>
  <si>
    <t>29 (from dairy)</t>
  </si>
  <si>
    <t>35 (from dairy)</t>
  </si>
  <si>
    <t>High risk (eye cosmetics, proximity to lead-acid battery melting)</t>
  </si>
  <si>
    <t>vit A for T and C</t>
  </si>
  <si>
    <t>yes, villages had different baseline characteristics</t>
  </si>
  <si>
    <t>Compliance was relatively low, with children consuming about 50-60% of their intended calcium doses. Ground fish was better consumed than calcium tablets (65% vs. 57% compliance rate). This low compliance might have affected the study's ability to detect an effect of calcium supplementation on blood lead levels.</t>
  </si>
  <si>
    <t>calcium tablets</t>
  </si>
  <si>
    <t>fish</t>
  </si>
  <si>
    <t>treatment group is anemic iron deficient (hmg &lt;105g/L) and received , control group is iron sufficient (received placebo)</t>
  </si>
  <si>
    <t>treatment group is non-anemic iron-depleted, control group is iron sufficient (received placebo)</t>
  </si>
  <si>
    <t>treatment group is non-anemic iron deficient, control group is iron sufficient (received placebo)</t>
  </si>
  <si>
    <t>treatment group is intermediate iron depleted (hmg 105&lt;x&lt;120 g/L), control group is iron sufficient (received placebo)</t>
  </si>
  <si>
    <t>Graphite furnace atomic absorption spectrometry (Perkin Elmer 560 AA, 2200 furnace, AS-40 Autosampler)</t>
  </si>
  <si>
    <t>high - (high mean BLL)</t>
  </si>
  <si>
    <t>Lower-middle-class community</t>
  </si>
  <si>
    <t>191 infants initially included, 165 completed the study (26 missing data, but no systematic difference noted)</t>
  </si>
  <si>
    <t>192 infants initially included, 165 completed the study (26 missing data, but no systematic difference noted)</t>
  </si>
  <si>
    <t>193 infants initially included, 165 completed the study (26 missing data, but no systematic difference noted)</t>
  </si>
  <si>
    <t>194 infants initially included, 165 completed the study (26 missing data, but no systematic difference noted)</t>
  </si>
  <si>
    <t>yes. iron</t>
  </si>
  <si>
    <t>2.5-5mohts avg</t>
  </si>
  <si>
    <t>selection bias, low iron kids were T, iron sufficient kids were C</t>
  </si>
  <si>
    <t>Morocco</t>
  </si>
  <si>
    <t>Bouhouch et al. 2016</t>
  </si>
  <si>
    <t>inclusion criteria: Our inclusion criteria were as follows: 1) preschool-aged thirdthrough sixth-graders, who were 2) apparently healthy, 3) had hemoglobin concentrations .7 g/dL, and 4) did not use iron supplements.</t>
  </si>
  <si>
    <t>8 to 11</t>
  </si>
  <si>
    <t>edta</t>
  </si>
  <si>
    <t>iron edta compound</t>
  </si>
  <si>
    <t>all iron vs all non iron 2x2</t>
  </si>
  <si>
    <t>all edta vs all non edta 2x2</t>
  </si>
  <si>
    <t>inductively coupled plasma mass spectrometry (Agilent 7700X; Agilent Technologies)</t>
  </si>
  <si>
    <t>iron &amp; edta</t>
  </si>
  <si>
    <t>iron suplhate</t>
  </si>
  <si>
    <t>sodium edta</t>
  </si>
  <si>
    <t>sodium iron edta</t>
  </si>
  <si>
    <t>iron suplhate + sodium iron edta</t>
  </si>
  <si>
    <t>sodium edta + sodium iron edta</t>
  </si>
  <si>
    <t>6.4 months</t>
  </si>
  <si>
    <t>biscuits</t>
  </si>
  <si>
    <t>medium risk, avg BLL 3</t>
  </si>
  <si>
    <t>yes</t>
  </si>
  <si>
    <t>about 10% dropout</t>
  </si>
  <si>
    <t>% iron deficient (&lt;12/L Serrum ferretin)</t>
  </si>
  <si>
    <t>dietary calcium: 1,137 mg/day (SD 597)</t>
  </si>
  <si>
    <t>dietary calcium: 900 mg Ca/day</t>
  </si>
  <si>
    <t>were the kids iron deficient?</t>
  </si>
  <si>
    <t>baseline calcium mean (serrum calcium mmol/L)</t>
  </si>
  <si>
    <t>baseline iron mean (hb) g/dL</t>
  </si>
  <si>
    <t>baseline iron mean (Serrum Ferretin)  µg/L</t>
  </si>
  <si>
    <t>Notes (Sample eligibility criteria)</t>
  </si>
  <si>
    <t>(all BLL stats convert 1 µmol/L=20.72 µg/dL, Pb conversion) (Main effect calculated from differences in T and C means (Tt2-Tt1)-(Ct2-Ct1) )(SE estimated: SEdiff​=sqrt(((SD1^2))/n1)+((SD2^2))/n2))), assumes equal variance across groups) (pvalue calculated with =T.DIST.2T(ABS(V7/W7), D7+E7-2))</t>
  </si>
  <si>
    <t>(all BLL stats convert 1 µmol/L=20.72 µg/dL) (Main effect calculated from differences in T and C means (Tt2-Tt1)-(Ct2-Ct1) )(SE estimated: SEdiff​=sqrt(((SD1^2))/n1)+((SD2^2))/n2))), assumes equal variance across groups) (pvalue calculated with =T.DIST.2T(ABS(V7/W7), D7+E7-2))</t>
  </si>
  <si>
    <t xml:space="preserve">Compliance was relatively low, with children consuming about 50-60% of their intended calcium doses. Ground fish was better consumed than calcium tablets (65% vs. 57% compliance rate). This low compliance might have affected the study's ability to detect an effect of calcium supplementation on blood lead levels. Quasi experimental because </t>
  </si>
  <si>
    <t>I estimated complaince from its efforts to ensure compliance</t>
  </si>
  <si>
    <t>compliance estimate assumes normally distributed complaince</t>
  </si>
  <si>
    <t xml:space="preserve">overall compaince estimated </t>
  </si>
  <si>
    <t>only maternal blood lead measured. compliance estimated</t>
  </si>
  <si>
    <t>low dietary calcium (only dairy measured), but baseline serum calcium normal. compliance "65% (meaning Estimated Calcium Intake During the Trial
    Calcium tablet group: 226 ± 99 mg/day (compared to the intended 400 mg/day))"</t>
  </si>
  <si>
    <t>low dietary calcium (only dairy measured), but baseline serum calcium normal. 57% (meaning Estimated Calcium Intake During the Trial
    Calcium tablet group: 309 ± 137 mg/day (compared to the intended 400 mg/day))</t>
  </si>
  <si>
    <t>hemoglobin levels below 7g/L. complaince 100% because it is already considerd in the dosage.</t>
  </si>
  <si>
    <t>8 mg FE per day</t>
  </si>
  <si>
    <t>41 mg EDTA per day</t>
  </si>
  <si>
    <t>8 mg FE per day and 41 mg EDTA per day</t>
  </si>
  <si>
    <t>% anemic (&lt;12.4 or so HB) (depends on altitude) (actual numbers)</t>
  </si>
  <si>
    <t>Comliance rate (%) (estimate)</t>
  </si>
  <si>
    <t xml:space="preserve">pct_anemic_estimated  (&lt;12.4 or so HB) </t>
  </si>
  <si>
    <t>Unsure (table says 0.01, unlikely)</t>
  </si>
  <si>
    <t>SE and pvalues can be calculated once effect is known</t>
  </si>
  <si>
    <t>Unsure (can be calculated once main effect is known)</t>
  </si>
  <si>
    <t>0.01 (unlikely)</t>
  </si>
  <si>
    <t>0 (unlikely)</t>
  </si>
  <si>
    <t>SD's were estimated from the only effect and SD stated in the text (for baseline T group), as results table did not state what was being shown (SE or SD), and it seemed too small for SD.</t>
  </si>
  <si>
    <t xml:space="preserve">upper 95% CI </t>
  </si>
  <si>
    <t>lower 95% CI</t>
  </si>
  <si>
    <t>.=(Upper-Lower)/(2*T.INV.2T(0.05, samplesize-1))</t>
  </si>
  <si>
    <t xml:space="preserve">(Main effect calculated from differences in T and C means (Tt2-Tt1)-(Ct2-Ct1) (individual SDs calculated from CI's, main effect SE estimated: SEdiff​=sqrt(((SD1^2))/n1)+((SD2^2))/n2))), assumes equal variance across groups) </t>
  </si>
  <si>
    <t>main effect SE  and Pvalue calculated from CI's</t>
  </si>
  <si>
    <t xml:space="preserve">CI </t>
  </si>
  <si>
    <t>CI</t>
  </si>
  <si>
    <t>iron unadjusted estimate</t>
  </si>
  <si>
    <t>edta unadjusted estimate</t>
  </si>
  <si>
    <t>iron edta compound unadjusted estimate</t>
  </si>
  <si>
    <t>all iron vs all non iron 2x2 (adjusted for covariates)</t>
  </si>
  <si>
    <t>all edta vs all non edta 2x2 (adjusted for covariates)</t>
  </si>
  <si>
    <t>BLL &gt;5 all iron vs all non iron 2x2 (adjusted for covariates)</t>
  </si>
  <si>
    <t>BLL &gt;3 all iron vs all non iron 2x2 (adjusted for covariates)</t>
  </si>
  <si>
    <t>X</t>
  </si>
  <si>
    <t>dairy intake daily</t>
  </si>
  <si>
    <t>1800 mg Ca</t>
  </si>
  <si>
    <t>from https://journals.sagepub.com/doi/10.1177/10105395211041001</t>
  </si>
  <si>
    <t>35mg</t>
  </si>
  <si>
    <t>50% eat some common food containing calcium "sometimes"</t>
  </si>
  <si>
    <t>25% "frequently" eat calcium containinng foods</t>
  </si>
  <si>
    <t>from https://doi.org/10.1067/mpd.2000.107527</t>
  </si>
  <si>
    <t>Full diet calcium daily intake Ca mg day</t>
  </si>
  <si>
    <t>full diet Ca notes</t>
  </si>
  <si>
    <t>baseline calcium intake estimate ca mg day</t>
  </si>
  <si>
    <t>dietary calcium estimated from https://journals.sagepub.com/doi/10.1177/10105395211041001</t>
  </si>
  <si>
    <t>calcium est notes</t>
  </si>
  <si>
    <t xml:space="preserve">2.2  (serrum calcium mmol/L) </t>
  </si>
  <si>
    <t xml:space="preserve">2.5  (serrum calcium mmol/L) </t>
  </si>
  <si>
    <t>2.5 (serrum calcium mmol/L)  dietary calcium estimated from https://doi.org/10.1067/mpd.2000.107527
from https://doi.org/10.1067/mpd.2000.107527</t>
  </si>
  <si>
    <t>2.5. (serrum calcium mmol/L)  dietary calcium estimated from https://doi.org/10.1067/mpd.2000.107527
from https://doi.org/10.1067/mpd.2000.107527</t>
  </si>
  <si>
    <t>pct_anemic_est_notes</t>
  </si>
  <si>
    <t>included a follow up 3 months after supplementation stopped. results not included here.</t>
  </si>
  <si>
    <t>Exclusion Criteria: Chelation in the past 3 mo, Concomitant Fe deficiency (ferritin &lt;16 ng/mL). Hemoglobin &lt; 10.5 g/dL from any cause. Metabolic bone disease. Medications affecting mineral metabolism. such as steroids, diuretics, large doses of vitamins. Inclusion Criteria: Initial BPbs 10-44 ug/dL. Age 1-6 y. Normal intake history and physical. Availability of telephone contact.</t>
  </si>
  <si>
    <t>exclusion criteria: 1) the parent and infant resided in a geographic area identified as high risk of lead exposure; 2) the infant was drinking ≥ 600 mL (20 oz) cow milk–based formula/d; 3) the infant was between 2.5 and 5 mo of age; 4) the infant’s birth weight was &gt; 2.0 kg; 5) the infant’s length and weight were above the 5th percentile for age; 6) there was no history of kidney stones in first-degree relatives; 7) the infant had no history of rickets, parathyroid dysfunction, or a recent fracture; 8) the infant was not taking supplemental multivitamins or, if he or she was, the parent was willing to discontinue them; and 9) the infant was not chronically taking medications other than antihistamine decongestants, fluoride supplements, or prophylactic antibiotics to prevent recurrent otitis media.</t>
  </si>
  <si>
    <t>T had sFe of 45, C has sFe of 70. C and T kids received iron fortified food, T received Ca as well.</t>
  </si>
  <si>
    <t>Study Sample eligibility criteria</t>
  </si>
  <si>
    <t>Exclusion Criteria: Children were excluded from the study if their PbB was .45 mg/dL (2.17 mmol/L) or hemoglobin (Hb)was ,90 g/ L. One child with a PbB .45 mg/dL was referred for clinical treatment. No children were excluded based on Hb.</t>
  </si>
  <si>
    <t>inclusion criteria included intention to breastfeed, residency in Mexico City and a normal pregnancy and delivery.</t>
  </si>
  <si>
    <t>inclusion criteria pregnancy of no more than 14 weeks’ gestation; not presenting with a high-risk pregnancy; plans to reside in the metropolitan Mexico City area for ~ 5 years</t>
  </si>
  <si>
    <t>exclusion criteria were children with kidney failure, abnormalities of brain dysfunction, malnutrition, history of allergies. inclusion criteria - children at school</t>
  </si>
  <si>
    <t>exclusion criteria were children with kidney failure, abnormalities of brain dysfunction, history of allergies, or resigned after being given an explanation. inclusion criteria - children at school</t>
  </si>
  <si>
    <t>(main effect calcuated from with log transofrmation and assumiing BLL mean =3.95 for each sub sample) (SE and pvaulues and CIs calucated), see paper or old copies of this sheet  for ∆%^ change and pvalue). input pvalues are from original log regression</t>
  </si>
  <si>
    <t>absolute main effect cant be estimated as subsample size not known, ∆% and pvalues on old sheet. input pvalues are from original log regression</t>
  </si>
  <si>
    <t>inclusion criteria: child in school in Bandung</t>
  </si>
  <si>
    <t>inclusion criteria: First-graders (n _x0003_ 724) from 9 public elementary schools that are located within a 3.5-km radius. and consent from parents exclusion criteria: PbB &gt;45 mcg/dl. (1 child). and Hb &lt;9g/dl (Zero children).</t>
  </si>
  <si>
    <t>inclusion criteria: san jose costa rica families. 12-24 months old. birth weight 2.5 kg, singleton birth, no major congenital anomalies, no major perinatal complications, no jaundice treated with phototherapy, no hospitalization during the preceding 6 months, no hospital admission at any age for other than an acute uncomplicated problem, no iron therapy after 6 months of age, no intramuscular iron treatment at any age, no iron-containing vitamins or formula within the last month, no known developmental delay, and no major chronic or acute illness.</t>
  </si>
  <si>
    <t>inclusion:12-18 months, lived in designated communities.</t>
  </si>
  <si>
    <t>All children who were iron-deficient, defined as either serum ferritin _x0004_15 _x0002_g/L or transferrin receptor _x0003_7.6 mg/L,1,40,41 were invited to join the feeding trial (N _x0001_ 186; aged 5–13 years). This included both nonanemic and mildly anemic children. Children with hemoglobin levels _x0003_90 g/L were excluded from the study and received oral iron supplementation.</t>
  </si>
  <si>
    <t>Percentage given. This is % below 12.4 hb. it is adjusted to account for 2300 m altitude.</t>
  </si>
  <si>
    <t>Percentage given. 11.5 anemia cutoff, which is correct for age 5-11. Mean anemia 120 +- 10 (SD) Hb g/L.</t>
  </si>
  <si>
    <t>local estimate, this is a calcium study anyway</t>
  </si>
  <si>
    <t>Percentage given: Exclusion criteria &lt;10.5 Hb, but 11 is the cutoff for anemia. Calcium study anyway.</t>
  </si>
  <si>
    <t>%&lt;12 measurement. calcium study</t>
  </si>
  <si>
    <t>estimated from: 21.7% iron deficiency (SF ≤ 15 µg/L). (https://pmc.ncbi.nlm.nih.gov/articles/PMC10261006/ finds 60% of SF&lt;15 have anemia in school girls.)</t>
  </si>
  <si>
    <t xml:space="preserve">Percentage given. uses cutoffs for hemoglobin of ,11.0, ,115, and ,120 g/dL for children aged ,5 y, 5–11, and $12 y. </t>
  </si>
  <si>
    <t>measured Treatment group is anemic</t>
  </si>
  <si>
    <t>measured Treatment group is anemic (up to 12 g/dl though)</t>
  </si>
  <si>
    <t>Actually zero, but pop is not anemic, but has low SF (as subsamples split wierdly), and low SF is actually a better indicator of irons effect on BLLs, so ive given a higher estimate.</t>
  </si>
  <si>
    <t>pct_anemic_estimated  (&lt;11 or so Hb, depending on age: &lt;11 for 0-5,&lt;11.5 for 5-11, &lt;12 for 12-14, &lt;11 or pregnant)</t>
  </si>
  <si>
    <t>same as ettinger</t>
  </si>
  <si>
    <t>effect_variant_short</t>
  </si>
  <si>
    <t>iron + zinc</t>
  </si>
  <si>
    <t>4m</t>
  </si>
  <si>
    <t>9m</t>
  </si>
  <si>
    <t>3m full sample</t>
  </si>
  <si>
    <t>6m full sample</t>
  </si>
  <si>
    <t>6m excl dropouts</t>
  </si>
  <si>
    <t>3m full, ≥50% compliance</t>
  </si>
  <si>
    <t>6m full, ≥50% compliance</t>
  </si>
  <si>
    <t>6m excl dropouts, ≥50% compliance</t>
  </si>
  <si>
    <t>3m full, ≥50%, baseline patella Pb &gt;10</t>
  </si>
  <si>
    <t>6m full, ≥50%, baseline patella Pb &gt;10</t>
  </si>
  <si>
    <t>6m excl dropouts, ≥50%, Pb &gt;10</t>
  </si>
  <si>
    <t>3m full, ≥50%, baseline patella Pb &gt;15</t>
  </si>
  <si>
    <t>6m full, ≥50%, baseline patella Pb &gt;15</t>
  </si>
  <si>
    <t>6m excl dropouts, ≥50%, Pb &gt;15</t>
  </si>
  <si>
    <t>main result (3–6m avg, full sample)</t>
  </si>
  <si>
    <t>3 month, full sample, high compliance only (50% pills), baseline patella lead &gt;5 mcg-Pb/gm bone mineral</t>
  </si>
  <si>
    <t>6 month, full sample, high compliance only (50% pills), baseline patella lead &gt;5 mcg-Pb/gm bone mineral</t>
  </si>
  <si>
    <t>6 month, excludes halfway dropouts, high compliance only (50% pills), baseline patella lead &gt;5 mcg-Pb/gm bone mineral</t>
  </si>
  <si>
    <t>3m full, ≥50%, baseline patella Pb &gt;5</t>
  </si>
  <si>
    <t>6m full, ≥50%, baseline patella Pb &gt;5</t>
  </si>
  <si>
    <t>6m excl dropouts, ≥50%, Pb &gt;5</t>
  </si>
  <si>
    <t>full sample, 3–6m avg</t>
  </si>
  <si>
    <t>full sample, trimester 2+T3 avg</t>
  </si>
  <si>
    <t>tablets</t>
  </si>
  <si>
    <t>fish meal</t>
  </si>
  <si>
    <t>iron, unadjusted</t>
  </si>
  <si>
    <t>iron-EDTA, unadjusted</t>
  </si>
  <si>
    <t>all iron vs non-iron, adjusted</t>
  </si>
  <si>
    <t>full sample, T2+T3 avg</t>
  </si>
  <si>
    <t>full sample, T3</t>
  </si>
  <si>
    <t>full sample, T2</t>
  </si>
  <si>
    <t>&lt;50% compliance, T2+T3 avg</t>
  </si>
  <si>
    <t>&lt;50% compliance, T3</t>
  </si>
  <si>
    <t>&lt;50% compliance, T2</t>
  </si>
  <si>
    <t>&gt;50% compliance, T2+T3 avg</t>
  </si>
  <si>
    <t>&gt;50% compliance, T3</t>
  </si>
  <si>
    <t>&gt;50% compliance, T2</t>
  </si>
  <si>
    <t>&gt;67% compliance, T2+T3 avg</t>
  </si>
  <si>
    <t>&gt;67% compliance, T3</t>
  </si>
  <si>
    <t>&gt;67% compliance, T2</t>
  </si>
  <si>
    <t>&gt;70% compliance, T2+T3 avg</t>
  </si>
  <si>
    <t>&gt;70% compliance, T3</t>
  </si>
  <si>
    <t>&gt;70% compliance, T2</t>
  </si>
  <si>
    <t>&lt;5 µg/dL</t>
  </si>
  <si>
    <t>&gt;5 µg/dL</t>
  </si>
  <si>
    <t>&lt;5 µg/dL, &gt;50% compliance</t>
  </si>
  <si>
    <t>&gt;5 µg/dL, &gt;50% compliance</t>
  </si>
  <si>
    <t>&lt;5 µg/dL, &lt;50% compliance</t>
  </si>
  <si>
    <t>&gt;5 µg/dL, &lt;50% compliance</t>
  </si>
  <si>
    <t>Population</t>
  </si>
  <si>
    <t>Intervention</t>
  </si>
  <si>
    <t>Sample Size</t>
  </si>
  <si>
    <t>Bouhouch et al. (2016) – Iron</t>
  </si>
  <si>
    <t>Fortified biscuits with NaFeEDTA (≈ 8 mg iron)</t>
  </si>
  <si>
    <t>Ettinger et al. (2009) – Calcium</t>
  </si>
  <si>
    <t>Calcium carbonate (1,200 mg/day)</t>
  </si>
  <si>
    <t>Hernández‑Avila et al. (2003) – Calcium</t>
  </si>
  <si>
    <t>Keating et al. (2011) – Calcium</t>
  </si>
  <si>
    <t>Daily calcium (400 mg) or high‑calcium food</t>
  </si>
  <si>
    <t>Markowitz et al. (2004) – Calcium</t>
  </si>
  <si>
    <t>Calcium gluconate (1,800 mg/day)</t>
  </si>
  <si>
    <t>Rosado et al. (2006) – Iron</t>
  </si>
  <si>
    <t>Iron 30 mg/day</t>
  </si>
  <si>
    <t>Sargent et al. (1999) – Calcium</t>
  </si>
  <si>
    <t>High‑calcium formula (1,800 mg/L)</t>
  </si>
  <si>
    <t>Zimmermann et al. (2006) – Iron</t>
  </si>
  <si>
    <t>Iron‑fortified food (≈ 15 mg/day)</t>
  </si>
  <si>
    <t>Sofyani &amp; Lelo (2017)</t>
  </si>
  <si>
    <t>Téllez-Rojo et al. (2006)</t>
  </si>
  <si>
    <t>Sofyani et al. (2020)</t>
  </si>
  <si>
    <t>Haryanto et al. (2015)</t>
  </si>
  <si>
    <t>Rico et al. (2006)</t>
  </si>
  <si>
    <t>Schoolchildren</t>
  </si>
  <si>
    <t>Toddlers</t>
  </si>
  <si>
    <t xml:space="preserve">Children </t>
  </si>
  <si>
    <t>Infants 3.5–6 months</t>
  </si>
  <si>
    <t>Children</t>
  </si>
  <si>
    <t>Treatment Duration (months)</t>
  </si>
  <si>
    <t>12–18</t>
  </si>
  <si>
    <t>Mother</t>
  </si>
  <si>
    <t>24% dropout</t>
  </si>
  <si>
    <t>overall compaince estimated. bll mean and sd converted from geometric to arithmetic</t>
  </si>
  <si>
    <t>overall compaince estimated. bll mean and sd converted from geometric to arithmetic. Let σ = ln(GSD). Arithmetic mean = GM × exp(σ²/2). Arithmetic SD = mean × √(exp(σ²) − 1).</t>
  </si>
  <si>
    <t>B=-0.1171 with log transformed BLL. 11.0% reduction applied to weighted baseline mean (after converting from geometric to arthmetic) and SE and pvalue calculated from that</t>
  </si>
  <si>
    <t>(Main effect calculated from differences in T and C means (Tt2-Tt1)-(Ct2-Ct1) )(SE estimated: SEdiff​=sqrt(((SD1^2))/n1)+((SD2^2))/n2))), assumes equal variance across groups) (SDs assumed only from ENDLINES, which can be done because of similar baseline BLLs, this normally cant be done and makes this Se calculation unique.)</t>
  </si>
  <si>
    <t xml:space="preserve">(Main effect calculated from differences in T and C means (Tt2-Tt1)-(Ct2-Ct1) (individual SDs calculated from CI's, main effect SE estimated: SE_DID = SQRT(
 (SE_T_pre^2 + SE_T_post^2 - 2*rho*SE_T_pre*SE_T_post)
+ (SE_C_pre^2 + SE_C_post^2 - 2*rho*SE_C_pre*SE_C_post)
), where SE1=U-L/2*1.96, assumes rho=0.5 (within-person correlation)) </t>
  </si>
  <si>
    <t>14wks</t>
  </si>
  <si>
    <t>30wks</t>
  </si>
  <si>
    <t>Main effect is from table 2: (Fet2-Fet1)-(ctrlt2-ctrlt1). SE(did) if from standard deviations of Fet2-Fet1 (1.55) and ctrlt2-ctrlt1 (1.55), using this formula (note that it doesn’t need rho: SE(did) = sqrt( (SD(∆T)^2)/n(T) + (SD(∆C)^2)/n(C) )</t>
  </si>
  <si>
    <t>(main effect ∆% from table 3 and main effect: ΔBLL≈Baseline BLL×∆% assuming weighted mean BLL =3.95)) (SE(DID)=|logged_effect * Mean_BLL|/(z_score_from_p=0.001), using ln(beta)=-0.15 and  p=0.001). (z_score from p=0.001 = =ABS(NORM.S.INV(1 - 0.001/2)))</t>
  </si>
  <si>
    <t>(main effect ∆% from table 3 and main effect: ΔBLL≈Baseline BLL×∆% assuming weighted mean BLL =3.95)) (SE(DID)=|logged_effect * Mean_BLL|/(z_score_from_p=0.001), using ln(beta)=-0.08 and  p=0.107). (z_score from p=0.107 = =ABS(NORM.S.INV(1 - 0.107/2)))</t>
  </si>
  <si>
    <t>(Main effect calculated from differences in T and C means (Tt2-Tt1)-(Ct2-Ct1) )(SE estimated: SE_DiD = SQRT(((SD_T1^2 + SD_T2^2 - 2*rho*SD_T1*SD_T2)/n_T) + ((SD_C1^2 + SD_C2^2 - 2*rho*SD_C1*SD_C2)/n_C))) (pvalue calculated with =T.DIST.2T(ABS(V7/W7), D7+E7-2))</t>
  </si>
  <si>
    <t>effect in text. SE and pvalues calcuated from CI of main effect (CI -0.6 to -0.04). se(DID)=((U)-(L))/(2*1.96)</t>
  </si>
  <si>
    <t>(SE calcuated from CI) CI -0.71 to 0.46</t>
  </si>
  <si>
    <t>(SE calcuated from CI) CI -0.77 to 0.34</t>
  </si>
  <si>
    <t>(Main effect calculated from differences in T and C means (Tt2-Tt1)-(Ct2-Ct1) )(SE estimated: SE_DID = SQRT(
 (SE_T_pre^2 + SE_T_post^2 - 2*rho*SE_T_pre*SE_T_post)
+ (SE_C_pre^2 + SE_C_post^2 - 2*rho*SE_C_pre*SE_C_post)
)</t>
  </si>
  <si>
    <t>6months</t>
  </si>
  <si>
    <t>3months</t>
  </si>
  <si>
    <t>included a follow up 3 months after supplementation stopped</t>
  </si>
  <si>
    <t>this 6 months result is 3 monhts after supplementation stopped</t>
  </si>
  <si>
    <t>3 months (this result is taken 3 months after the supplementation stopped)</t>
  </si>
  <si>
    <t>(Main effect from table 3 the differences) )( SE(did) if from standard deviations of Tt2-Tt1 (0.08) and ctrlt2-ctrlt1 (0.11), using this formula (note that it doesn’t need rho: SE(did) = sqrt( (SD(∆T)^2)/n(T) + (SD(∆C)^2)/n(C) )</t>
  </si>
  <si>
    <t xml:space="preserve">(Main effect calculated from differences in T and C means (Tt2-Tt1)-(Ct2-Ct1) )(SE estimated: SE_DiD = SQRT(((SD_T1^2 + SD_T2^2 - 2*rho*SD_T1*SD_T2)/n_T) + ((SD_C1^2 + SD_C2^2 - 2*rho*SD_C1*SD_C2)/n_C))) </t>
  </si>
  <si>
    <t>sofyani 2020 dropped</t>
  </si>
  <si>
    <t>endline results used only because no baseline results taken. DID(SE) comes from SD's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</si>
</sst>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2"/>
      <color rgb="FF006100"/>
      <name val="Aptos Narrow"/>
      <family val="2"/>
      <scheme val="minor"/>
    </font>
    <font>
      <b/>
      <sz val="12"/>
      <color rgb="FF3F3F3F"/>
      <name val="Aptos Narrow"/>
      <family val="2"/>
      <scheme val="minor"/>
    </font>
    <font>
      <b/>
      <sz val="12"/>
      <color rgb="FFFA7D00"/>
      <name val="Aptos Narrow"/>
      <family val="2"/>
      <scheme val="minor"/>
    </font>
    <font>
      <sz val="8"/>
      <name val="Aptos Narrow"/>
      <family val="2"/>
      <scheme val="minor"/>
    </font>
    <font>
      <b/>
      <sz val="12"/>
      <color theme="1"/>
      <name val="Aptos Narrow"/>
      <scheme val="minor"/>
    </font>
    <font>
      <b/>
      <sz val="12"/>
      <color rgb="FFFA7D00"/>
      <name val="Aptos Narrow"/>
      <scheme val="minor"/>
    </font>
    <font>
      <b/>
      <sz val="12"/>
      <color rgb="FF006100"/>
      <name val="Aptos Narrow"/>
      <scheme val="minor"/>
    </font>
    <font>
      <b/>
      <sz val="12"/>
      <color rgb="FF3F3F3F"/>
      <name val="Aptos Narrow"/>
      <scheme val="minor"/>
    </font>
    <font>
      <b/>
      <sz val="12"/>
      <color theme="1"/>
      <name val="Aptos Narrow"/>
      <family val="2"/>
      <scheme val="minor"/>
    </font>
    <font>
      <sz val="12"/>
      <color theme="1"/>
      <name val="Aptos Narrow"/>
      <scheme val="minor"/>
    </font>
    <font>
      <sz val="12"/>
      <color rgb="FF000000"/>
      <name val="Aptos Narrow"/>
      <family val="2"/>
      <scheme val="minor"/>
    </font>
    <font>
      <sz val="12"/>
      <color rgb="FF9C5700"/>
      <name val="Aptos Narrow"/>
      <family val="2"/>
      <scheme val="minor"/>
    </font>
  </fonts>
  <fills count="5">
    <fill>
      <patternFill patternType="none"/>
    </fill>
    <fill>
      <patternFill patternType="gray125"/>
    </fill>
    <fill>
      <patternFill patternType="solid">
        <fgColor rgb="FFC6EFCE"/>
      </patternFill>
    </fill>
    <fill>
      <patternFill patternType="solid">
        <fgColor rgb="FFF2F2F2"/>
      </patternFill>
    </fill>
    <fill>
      <patternFill patternType="solid">
        <fgColor rgb="FFFFEB9C"/>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top/>
      <bottom/>
      <diagonal/>
    </border>
    <border>
      <left style="thin">
        <color rgb="FF3F3F3F"/>
      </left>
      <right style="thin">
        <color rgb="FF3F3F3F"/>
      </right>
      <top/>
      <bottom/>
      <diagonal/>
    </border>
    <border>
      <left style="thin">
        <color rgb="FF7F7F7F"/>
      </left>
      <right style="thin">
        <color rgb="FF7F7F7F"/>
      </right>
      <top/>
      <bottom/>
      <diagonal/>
    </border>
  </borders>
  <cellStyleXfs count="5">
    <xf numFmtId="0" fontId="0" fillId="0" borderId="0"/>
    <xf numFmtId="0" fontId="1" fillId="2" borderId="0" applyNumberFormat="0" applyBorder="0" applyAlignment="0" applyProtection="0"/>
    <xf numFmtId="0" fontId="2" fillId="3" borderId="2" applyNumberFormat="0" applyAlignment="0" applyProtection="0"/>
    <xf numFmtId="0" fontId="3" fillId="3" borderId="1" applyNumberFormat="0" applyAlignment="0" applyProtection="0"/>
    <xf numFmtId="0" fontId="12" fillId="4" borderId="0" applyNumberFormat="0" applyBorder="0" applyAlignment="0" applyProtection="0"/>
  </cellStyleXfs>
  <cellXfs count="25">
    <xf numFmtId="0" fontId="0" fillId="0" borderId="0" xfId="0"/>
    <xf numFmtId="0" fontId="1" fillId="2" borderId="0" xfId="1"/>
    <xf numFmtId="0" fontId="3" fillId="3" borderId="1" xfId="3"/>
    <xf numFmtId="0" fontId="2" fillId="3" borderId="2" xfId="2"/>
    <xf numFmtId="0" fontId="5" fillId="0" borderId="0" xfId="0" applyFont="1"/>
    <xf numFmtId="0" fontId="6" fillId="3" borderId="1" xfId="3" applyFont="1"/>
    <xf numFmtId="0" fontId="7" fillId="2" borderId="0" xfId="1" applyFont="1"/>
    <xf numFmtId="0" fontId="8" fillId="3" borderId="2" xfId="2" applyFont="1"/>
    <xf numFmtId="0" fontId="3" fillId="3" borderId="1" xfId="3" applyAlignment="1"/>
    <xf numFmtId="0" fontId="1" fillId="2" borderId="0" xfId="1" applyAlignment="1"/>
    <xf numFmtId="0" fontId="2" fillId="3" borderId="2" xfId="2" applyAlignment="1"/>
    <xf numFmtId="0" fontId="2" fillId="3" borderId="3" xfId="2" applyBorder="1" applyAlignment="1"/>
    <xf numFmtId="0" fontId="9" fillId="0" borderId="0" xfId="0" applyFont="1"/>
    <xf numFmtId="0" fontId="10" fillId="0" borderId="0" xfId="0" applyFont="1"/>
    <xf numFmtId="0" fontId="2" fillId="3" borderId="4" xfId="2" applyBorder="1"/>
    <xf numFmtId="10" fontId="0" fillId="0" borderId="0" xfId="0" applyNumberFormat="1"/>
    <xf numFmtId="0" fontId="3" fillId="3" borderId="5" xfId="3" applyBorder="1"/>
    <xf numFmtId="0" fontId="11" fillId="0" borderId="0" xfId="0" applyFont="1"/>
    <xf numFmtId="0" fontId="12" fillId="4" borderId="0" xfId="4"/>
    <xf numFmtId="0" fontId="12" fillId="4" borderId="1" xfId="4" applyBorder="1"/>
    <xf numFmtId="0" fontId="12" fillId="4" borderId="2" xfId="4" applyBorder="1"/>
    <xf numFmtId="0" fontId="3" fillId="3" borderId="1" xfId="3" applyAlignment="1">
      <alignment wrapText="1"/>
    </xf>
    <xf numFmtId="9" fontId="0" fillId="0" borderId="0" xfId="0" applyNumberFormat="1"/>
    <xf numFmtId="0" fontId="1" fillId="2" borderId="0" xfId="1" applyAlignment="1">
      <alignment wrapText="1"/>
    </xf>
    <xf numFmtId="2" fontId="1" fillId="2" borderId="0" xfId="1" applyNumberFormat="1" applyAlignment="1"/>
  </cellXfs>
  <cellStyles count="5">
    <cellStyle name="Calculation" xfId="3" builtinId="22"/>
    <cellStyle name="Good" xfId="1" builtinId="26"/>
    <cellStyle name="Neutral" xfId="4" builtinId="28"/>
    <cellStyle name="Normal" xfId="0" builtinId="0"/>
    <cellStyle name="Output"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77D3-3416-E44B-8056-21B8B09A8AF4}">
  <dimension ref="A1:BC20"/>
  <sheetViews>
    <sheetView tabSelected="1" workbookViewId="0">
      <pane xSplit="4" topLeftCell="E1" activePane="topRight" state="frozen"/>
      <selection pane="topRight" activeCell="AF3" sqref="AF3"/>
    </sheetView>
  </sheetViews>
  <sheetFormatPr baseColWidth="10" defaultRowHeight="16" x14ac:dyDescent="0.2"/>
  <cols>
    <col min="1" max="1" width="11.83203125" customWidth="1"/>
    <col min="2" max="2" width="6.33203125" customWidth="1"/>
    <col min="3" max="3" width="5.33203125" customWidth="1"/>
    <col min="4" max="4" width="4.6640625" customWidth="1"/>
    <col min="5" max="5" width="7" customWidth="1"/>
    <col min="6" max="6" width="10" customWidth="1"/>
    <col min="7" max="7" width="8" customWidth="1"/>
    <col min="8" max="8" width="11" hidden="1" customWidth="1"/>
    <col min="9" max="12" width="14.83203125" hidden="1" customWidth="1"/>
    <col min="13" max="13" width="12.1640625" customWidth="1"/>
    <col min="14" max="14" width="16" customWidth="1"/>
    <col min="15" max="15" width="15.1640625" customWidth="1"/>
    <col min="16" max="16" width="14.83203125" customWidth="1"/>
    <col min="17" max="17" width="12.5" customWidth="1"/>
    <col min="18" max="18" width="18" hidden="1" customWidth="1"/>
    <col min="19" max="19" width="24.6640625" hidden="1" customWidth="1"/>
    <col min="20" max="26" width="14.83203125" hidden="1" customWidth="1"/>
    <col min="27" max="27" width="12.83203125" customWidth="1"/>
    <col min="28" max="28" width="12.5" customWidth="1"/>
    <col min="29" max="29" width="11.83203125" customWidth="1"/>
    <col min="30" max="30" width="11.6640625" customWidth="1"/>
    <col min="31" max="31" width="14.83203125" customWidth="1"/>
    <col min="32" max="32" width="10.6640625" customWidth="1"/>
    <col min="33" max="33" width="8.33203125" customWidth="1"/>
    <col min="34" max="34" width="6.6640625" customWidth="1"/>
    <col min="35" max="35" width="7" customWidth="1"/>
    <col min="36" max="36" width="14.83203125" customWidth="1"/>
    <col min="37" max="37" width="17" customWidth="1"/>
    <col min="38" max="47" width="14.83203125" customWidth="1"/>
    <col min="48" max="48" width="24.83203125" customWidth="1"/>
    <col min="49" max="49" width="10.83203125" customWidth="1"/>
    <col min="50" max="50" width="51.83203125" customWidth="1"/>
    <col min="51" max="51" width="20.1640625" customWidth="1"/>
    <col min="52" max="52" width="15" customWidth="1"/>
    <col min="53" max="53" width="53.5" customWidth="1"/>
    <col min="54" max="54" width="82.5" customWidth="1"/>
    <col min="55" max="55" width="17" customWidth="1"/>
  </cols>
  <sheetData>
    <row r="1" spans="1:54" s="4" customFormat="1" ht="45" customHeight="1" x14ac:dyDescent="0.2">
      <c r="A1" s="4" t="s">
        <v>0</v>
      </c>
      <c r="B1" t="s">
        <v>313</v>
      </c>
      <c r="C1" t="s">
        <v>312</v>
      </c>
      <c r="D1" s="4" t="s">
        <v>1</v>
      </c>
      <c r="E1" s="4" t="s">
        <v>2</v>
      </c>
      <c r="F1" s="4" t="s">
        <v>135</v>
      </c>
      <c r="G1" s="4" t="s">
        <v>134</v>
      </c>
      <c r="H1" s="4" t="s">
        <v>41</v>
      </c>
      <c r="I1" s="4" t="s">
        <v>344</v>
      </c>
      <c r="J1" s="4" t="s">
        <v>37</v>
      </c>
      <c r="K1" s="4" t="s">
        <v>36</v>
      </c>
      <c r="L1" s="4" t="s">
        <v>111</v>
      </c>
      <c r="M1" s="4" t="s">
        <v>347</v>
      </c>
      <c r="N1" s="5" t="s">
        <v>82</v>
      </c>
      <c r="O1" s="5" t="s">
        <v>77</v>
      </c>
      <c r="P1" s="5" t="s">
        <v>81</v>
      </c>
      <c r="Q1" s="5" t="s">
        <v>76</v>
      </c>
      <c r="R1" t="s">
        <v>448</v>
      </c>
      <c r="S1" s="5" t="s">
        <v>450</v>
      </c>
      <c r="T1" s="5" t="s">
        <v>394</v>
      </c>
      <c r="U1" s="5" t="s">
        <v>415</v>
      </c>
      <c r="V1" s="5" t="s">
        <v>399</v>
      </c>
      <c r="W1" s="5" t="s">
        <v>400</v>
      </c>
      <c r="X1" s="5" t="s">
        <v>483</v>
      </c>
      <c r="Y1" t="s">
        <v>455</v>
      </c>
      <c r="Z1" s="4" t="s">
        <v>36</v>
      </c>
      <c r="AA1" s="5" t="s">
        <v>328</v>
      </c>
      <c r="AB1" s="5" t="s">
        <v>329</v>
      </c>
      <c r="AC1" s="5" t="s">
        <v>330</v>
      </c>
      <c r="AD1" s="5" t="s">
        <v>331</v>
      </c>
      <c r="AE1" s="6" t="s">
        <v>112</v>
      </c>
      <c r="AF1" s="6" t="s">
        <v>183</v>
      </c>
      <c r="AG1" s="6" t="s">
        <v>91</v>
      </c>
      <c r="AH1" s="6" t="s">
        <v>315</v>
      </c>
      <c r="AI1" s="6" t="s">
        <v>316</v>
      </c>
      <c r="AJ1" s="6" t="s">
        <v>318</v>
      </c>
      <c r="AK1" s="4" t="s">
        <v>485</v>
      </c>
      <c r="AL1" s="7" t="s">
        <v>93</v>
      </c>
      <c r="AM1" s="7" t="s">
        <v>342</v>
      </c>
      <c r="AN1" s="7" t="s">
        <v>40</v>
      </c>
      <c r="AO1" s="7" t="s">
        <v>7</v>
      </c>
      <c r="AP1" s="7" t="s">
        <v>8</v>
      </c>
      <c r="AQ1" s="7" t="s">
        <v>9</v>
      </c>
      <c r="AR1" s="7" t="s">
        <v>10</v>
      </c>
      <c r="AS1" s="7" t="s">
        <v>11</v>
      </c>
      <c r="AT1" s="4" t="s">
        <v>12</v>
      </c>
      <c r="AU1" s="4" t="s">
        <v>13</v>
      </c>
      <c r="AV1" s="4" t="s">
        <v>169</v>
      </c>
      <c r="AW1" s="4" t="s">
        <v>416</v>
      </c>
      <c r="AX1" s="4" t="s">
        <v>14</v>
      </c>
      <c r="AY1" s="4" t="s">
        <v>397</v>
      </c>
      <c r="AZ1" s="4" t="s">
        <v>460</v>
      </c>
      <c r="BA1" s="4" t="s">
        <v>132</v>
      </c>
      <c r="BB1" s="4" t="s">
        <v>184</v>
      </c>
    </row>
    <row r="2" spans="1:54" x14ac:dyDescent="0.2">
      <c r="A2" t="s">
        <v>17</v>
      </c>
      <c r="B2">
        <v>1</v>
      </c>
      <c r="C2">
        <v>2006</v>
      </c>
      <c r="D2" t="s">
        <v>15</v>
      </c>
      <c r="E2" t="s">
        <v>25</v>
      </c>
      <c r="F2">
        <v>122</v>
      </c>
      <c r="G2">
        <v>129</v>
      </c>
      <c r="H2">
        <v>6</v>
      </c>
      <c r="I2" t="s">
        <v>345</v>
      </c>
      <c r="J2" t="s">
        <v>38</v>
      </c>
      <c r="K2" t="s">
        <v>31</v>
      </c>
      <c r="L2">
        <v>53.7</v>
      </c>
      <c r="M2">
        <f>((N2*G2)+(P2*F2))/(G2+F2)</f>
        <v>11.625099601593623</v>
      </c>
      <c r="N2" s="2">
        <v>12.5</v>
      </c>
      <c r="O2" s="2">
        <v>7.3</v>
      </c>
      <c r="P2" s="2">
        <v>10.7</v>
      </c>
      <c r="Q2" s="2">
        <v>5.88</v>
      </c>
      <c r="T2" s="2">
        <v>12</v>
      </c>
      <c r="U2" s="2">
        <v>10</v>
      </c>
      <c r="V2" s="2">
        <v>13</v>
      </c>
      <c r="W2" s="5"/>
      <c r="X2" s="2">
        <v>20</v>
      </c>
      <c r="Y2" t="s">
        <v>473</v>
      </c>
      <c r="Z2" t="s">
        <v>31</v>
      </c>
      <c r="AA2" s="2">
        <v>10.88</v>
      </c>
      <c r="AB2" s="2" t="s">
        <v>114</v>
      </c>
      <c r="AC2" s="2">
        <v>9.2200000000000006</v>
      </c>
      <c r="AD2" s="2" t="s">
        <v>113</v>
      </c>
      <c r="AE2" s="1">
        <f>(-1.62)-(-1.48)</f>
        <v>-0.14000000000000012</v>
      </c>
      <c r="AF2" s="1">
        <f>SQRT( ((1.55^2)/G2) + ((1.55^2)/F2) )</f>
        <v>0.19574640215996722</v>
      </c>
      <c r="AG2" s="1" t="s">
        <v>115</v>
      </c>
      <c r="AH2" s="1"/>
      <c r="AI2" s="1"/>
      <c r="AJ2" s="1" t="s">
        <v>575</v>
      </c>
      <c r="AK2" t="s">
        <v>46</v>
      </c>
      <c r="AL2" s="3" t="s">
        <v>150</v>
      </c>
      <c r="AM2" s="3" t="s">
        <v>46</v>
      </c>
      <c r="AN2" s="3" t="s">
        <v>116</v>
      </c>
      <c r="AO2" s="3" t="s">
        <v>54</v>
      </c>
      <c r="AP2" s="3" t="s">
        <v>16</v>
      </c>
      <c r="AQ2" s="3" t="s">
        <v>53</v>
      </c>
      <c r="AR2" s="3" t="s">
        <v>42</v>
      </c>
      <c r="AS2" s="3" t="s">
        <v>109</v>
      </c>
      <c r="AT2" t="s">
        <v>120</v>
      </c>
      <c r="AU2" t="s">
        <v>110</v>
      </c>
      <c r="AV2" t="s">
        <v>101</v>
      </c>
      <c r="AW2">
        <v>90</v>
      </c>
      <c r="AX2" t="s">
        <v>121</v>
      </c>
      <c r="AY2" t="s">
        <v>131</v>
      </c>
      <c r="AZ2" t="s">
        <v>461</v>
      </c>
      <c r="BB2" t="s">
        <v>46</v>
      </c>
    </row>
    <row r="3" spans="1:54" s="18" customFormat="1" x14ac:dyDescent="0.2">
      <c r="A3" s="18" t="s">
        <v>18</v>
      </c>
      <c r="B3" s="18">
        <v>2</v>
      </c>
      <c r="C3" s="18">
        <v>2006</v>
      </c>
      <c r="D3" s="18" t="s">
        <v>15</v>
      </c>
      <c r="E3" s="18" t="s">
        <v>26</v>
      </c>
      <c r="F3" s="18">
        <v>68</v>
      </c>
      <c r="G3" s="18">
        <v>66</v>
      </c>
      <c r="H3" s="18">
        <v>4</v>
      </c>
      <c r="I3" s="18" t="s">
        <v>345</v>
      </c>
      <c r="J3" s="18" t="s">
        <v>38</v>
      </c>
      <c r="K3" s="18" t="s">
        <v>30</v>
      </c>
      <c r="L3" s="18" t="s">
        <v>122</v>
      </c>
      <c r="M3" s="18">
        <v>12.05</v>
      </c>
      <c r="N3" s="19" t="s">
        <v>38</v>
      </c>
      <c r="O3" s="19" t="s">
        <v>38</v>
      </c>
      <c r="P3" s="19" t="s">
        <v>38</v>
      </c>
      <c r="Q3" s="19" t="s">
        <v>38</v>
      </c>
      <c r="T3" s="19">
        <v>70</v>
      </c>
      <c r="U3" s="19">
        <v>21</v>
      </c>
      <c r="V3" s="19"/>
      <c r="W3" s="19">
        <v>15</v>
      </c>
      <c r="X3" s="19">
        <v>21</v>
      </c>
      <c r="Y3" s="18" t="s">
        <v>474</v>
      </c>
      <c r="Z3" s="18" t="s">
        <v>30</v>
      </c>
      <c r="AA3" s="19">
        <v>12.1</v>
      </c>
      <c r="AB3" s="19">
        <v>5.7750000000000004</v>
      </c>
      <c r="AC3" s="19">
        <v>12</v>
      </c>
      <c r="AD3" s="19">
        <v>5.4249999999999998</v>
      </c>
      <c r="AE3" s="1">
        <f>AA3-AC3</f>
        <v>9.9999999999999645E-2</v>
      </c>
      <c r="AF3" s="9">
        <f>SQRT( ((AB3^2)/G3) + ((AD3^2)/F3) )</f>
        <v>0.96856378665709442</v>
      </c>
      <c r="AG3" s="1">
        <f>_xlfn.T.DIST.2T(ABS(AE3/AF3), F3+G3-2)</f>
        <v>0.91792470122087533</v>
      </c>
      <c r="AJ3" s="18" t="s">
        <v>591</v>
      </c>
      <c r="AK3" s="18" t="s">
        <v>573</v>
      </c>
      <c r="AL3" s="20" t="s">
        <v>151</v>
      </c>
      <c r="AM3" s="20" t="s">
        <v>46</v>
      </c>
      <c r="AN3" s="20" t="s">
        <v>59</v>
      </c>
      <c r="AO3" s="20" t="s">
        <v>123</v>
      </c>
      <c r="AP3" s="20" t="s">
        <v>16</v>
      </c>
      <c r="AQ3" s="20" t="s">
        <v>124</v>
      </c>
      <c r="AR3" s="20" t="s">
        <v>125</v>
      </c>
      <c r="AS3" s="20" t="s">
        <v>109</v>
      </c>
      <c r="AT3" s="18" t="s">
        <v>126</v>
      </c>
      <c r="AU3" s="18" t="s">
        <v>127</v>
      </c>
      <c r="AV3" s="18" t="s">
        <v>158</v>
      </c>
      <c r="AW3" s="18">
        <v>80</v>
      </c>
      <c r="AX3" s="18" t="s">
        <v>128</v>
      </c>
      <c r="AY3" s="18" t="s">
        <v>130</v>
      </c>
      <c r="AZ3" s="18" t="s">
        <v>472</v>
      </c>
      <c r="BA3" s="18" t="s">
        <v>133</v>
      </c>
    </row>
    <row r="4" spans="1:54" s="18" customFormat="1" ht="17" customHeight="1" x14ac:dyDescent="0.2">
      <c r="A4" s="18" t="s">
        <v>18</v>
      </c>
      <c r="B4" s="18">
        <v>2</v>
      </c>
      <c r="C4" s="18">
        <v>2006</v>
      </c>
      <c r="D4" s="18" t="s">
        <v>15</v>
      </c>
      <c r="E4" s="18" t="s">
        <v>26</v>
      </c>
      <c r="F4" s="18">
        <v>68</v>
      </c>
      <c r="G4" s="18">
        <v>66</v>
      </c>
      <c r="H4" s="18">
        <v>4</v>
      </c>
      <c r="I4" s="18" t="s">
        <v>345</v>
      </c>
      <c r="J4" s="18" t="s">
        <v>38</v>
      </c>
      <c r="K4" s="18" t="s">
        <v>30</v>
      </c>
      <c r="L4" s="18" t="s">
        <v>122</v>
      </c>
      <c r="M4" s="18">
        <v>12.05</v>
      </c>
      <c r="N4" s="19" t="s">
        <v>38</v>
      </c>
      <c r="O4" s="19" t="s">
        <v>38</v>
      </c>
      <c r="P4" s="19" t="s">
        <v>38</v>
      </c>
      <c r="Q4" s="19" t="s">
        <v>38</v>
      </c>
      <c r="T4" s="19">
        <v>70</v>
      </c>
      <c r="U4" s="19">
        <v>21</v>
      </c>
      <c r="V4" s="19"/>
      <c r="W4" s="19">
        <v>15</v>
      </c>
      <c r="X4" s="19">
        <v>21</v>
      </c>
      <c r="Y4" s="18" t="s">
        <v>474</v>
      </c>
      <c r="Z4" s="18" t="s">
        <v>30</v>
      </c>
      <c r="AA4" s="19">
        <v>8.1</v>
      </c>
      <c r="AB4" s="19">
        <v>4.7</v>
      </c>
      <c r="AC4" s="19">
        <v>10.199999999999999</v>
      </c>
      <c r="AD4" s="19">
        <v>5.2249999999999996</v>
      </c>
      <c r="AE4" s="18">
        <f>AA4-AC4</f>
        <v>-2.0999999999999996</v>
      </c>
      <c r="AF4" s="18">
        <f>SQRT( (((3/1.349)^2/G4) + (((5/1.349)^2/F4))))</f>
        <v>0.52626916716168137</v>
      </c>
      <c r="AG4" s="1">
        <f>_xlfn.T.DIST.2T(ABS(AE4/AF4), F4+G4-2)</f>
        <v>1.088234674150963E-4</v>
      </c>
      <c r="AJ4" s="18" t="s">
        <v>591</v>
      </c>
      <c r="AK4" s="18" t="s">
        <v>574</v>
      </c>
      <c r="AL4" s="20" t="s">
        <v>151</v>
      </c>
      <c r="AM4" s="20" t="s">
        <v>46</v>
      </c>
      <c r="AN4" s="20" t="s">
        <v>59</v>
      </c>
      <c r="AO4" s="20" t="s">
        <v>123</v>
      </c>
      <c r="AP4" s="20" t="s">
        <v>16</v>
      </c>
      <c r="AQ4" s="20" t="s">
        <v>124</v>
      </c>
      <c r="AR4" s="20" t="s">
        <v>125</v>
      </c>
      <c r="AS4" s="20" t="s">
        <v>109</v>
      </c>
      <c r="AT4" s="18" t="s">
        <v>126</v>
      </c>
      <c r="AU4" s="18" t="s">
        <v>127</v>
      </c>
      <c r="AV4" s="18" t="s">
        <v>158</v>
      </c>
      <c r="AW4" s="18">
        <v>80</v>
      </c>
      <c r="AX4" s="18" t="s">
        <v>128</v>
      </c>
      <c r="AY4" s="18" t="s">
        <v>130</v>
      </c>
      <c r="AZ4" s="18" t="s">
        <v>472</v>
      </c>
      <c r="BA4" s="18" t="s">
        <v>133</v>
      </c>
    </row>
    <row r="5" spans="1:54" x14ac:dyDescent="0.2">
      <c r="A5" t="s">
        <v>20</v>
      </c>
      <c r="B5">
        <v>3</v>
      </c>
      <c r="C5">
        <v>2004</v>
      </c>
      <c r="D5" t="s">
        <v>15</v>
      </c>
      <c r="E5" t="s">
        <v>27</v>
      </c>
      <c r="F5">
        <v>32</v>
      </c>
      <c r="G5">
        <v>35</v>
      </c>
      <c r="H5">
        <v>6</v>
      </c>
      <c r="I5" t="s">
        <v>345</v>
      </c>
      <c r="J5" t="s">
        <v>38</v>
      </c>
      <c r="K5" t="s">
        <v>33</v>
      </c>
      <c r="L5" t="s">
        <v>105</v>
      </c>
      <c r="M5">
        <f>((N5*G5)+(P5*F5))/(G5+F5)</f>
        <v>21.034328358208956</v>
      </c>
      <c r="N5" s="2">
        <v>20.7</v>
      </c>
      <c r="O5" s="2">
        <v>5.8</v>
      </c>
      <c r="P5" s="2">
        <v>21.4</v>
      </c>
      <c r="Q5" s="2">
        <v>8.6999999999999993</v>
      </c>
      <c r="R5">
        <f>(1108*35+32*973)/(32+35)</f>
        <v>1043.5223880597016</v>
      </c>
      <c r="S5" s="2" t="s">
        <v>451</v>
      </c>
      <c r="T5" s="2">
        <v>0</v>
      </c>
      <c r="U5" s="2">
        <v>0</v>
      </c>
      <c r="V5" s="2">
        <v>12</v>
      </c>
      <c r="W5">
        <v>30</v>
      </c>
      <c r="X5" s="2">
        <v>0</v>
      </c>
      <c r="Y5" t="s">
        <v>476</v>
      </c>
      <c r="Z5" t="s">
        <v>33</v>
      </c>
      <c r="AA5" s="2">
        <v>15.1</v>
      </c>
      <c r="AB5" s="2">
        <v>6.3</v>
      </c>
      <c r="AC5" s="2">
        <v>16.600000000000001</v>
      </c>
      <c r="AD5" s="2">
        <v>7.2</v>
      </c>
      <c r="AE5" s="1">
        <f>(AA5-N5)-(AC5-P5)</f>
        <v>-0.80000000000000249</v>
      </c>
      <c r="AF5" s="9">
        <f>SQRT( ((AB5^2+O5^2-2*0.5*AB5*O5)/G5) + ((AD5^2+Q5^2-2*0.5*AD5*Q5)/F5) )</f>
        <v>1.75469523198271</v>
      </c>
      <c r="AG5" s="1">
        <f>_xlfn.T.DIST.2T(ABS(AE5/AF5), F5+G5-2)</f>
        <v>0.64996736418479761</v>
      </c>
      <c r="AH5" s="1"/>
      <c r="AI5" s="1"/>
      <c r="AJ5" s="1" t="s">
        <v>589</v>
      </c>
      <c r="AK5" t="s">
        <v>584</v>
      </c>
      <c r="AL5" s="3" t="s">
        <v>165</v>
      </c>
      <c r="AM5" s="3" t="s">
        <v>343</v>
      </c>
      <c r="AN5" s="3" t="s">
        <v>154</v>
      </c>
      <c r="AO5" s="3" t="s">
        <v>49</v>
      </c>
      <c r="AP5" s="3" t="s">
        <v>51</v>
      </c>
      <c r="AQ5" s="3" t="s">
        <v>155</v>
      </c>
      <c r="AR5" s="3" t="s">
        <v>42</v>
      </c>
      <c r="AS5" s="3" t="s">
        <v>156</v>
      </c>
      <c r="AT5" t="s">
        <v>160</v>
      </c>
      <c r="AU5" t="s">
        <v>157</v>
      </c>
      <c r="AV5" t="s">
        <v>159</v>
      </c>
      <c r="AW5">
        <v>80</v>
      </c>
      <c r="AX5" s="22" t="s">
        <v>567</v>
      </c>
      <c r="AY5" t="s">
        <v>161</v>
      </c>
      <c r="AZ5" t="s">
        <v>457</v>
      </c>
      <c r="BA5" t="s">
        <v>585</v>
      </c>
      <c r="BB5" t="s">
        <v>51</v>
      </c>
    </row>
    <row r="6" spans="1:54" x14ac:dyDescent="0.2">
      <c r="A6" t="s">
        <v>20</v>
      </c>
      <c r="B6">
        <v>3</v>
      </c>
      <c r="C6">
        <v>2004</v>
      </c>
      <c r="D6" t="s">
        <v>15</v>
      </c>
      <c r="E6" t="s">
        <v>27</v>
      </c>
      <c r="F6">
        <v>24</v>
      </c>
      <c r="G6">
        <v>34</v>
      </c>
      <c r="H6">
        <v>6</v>
      </c>
      <c r="I6" t="s">
        <v>345</v>
      </c>
      <c r="J6" t="s">
        <v>38</v>
      </c>
      <c r="K6" t="s">
        <v>33</v>
      </c>
      <c r="L6" t="s">
        <v>105</v>
      </c>
      <c r="M6">
        <f>((N6*G6)+(P6*F6))/(G6+F6)</f>
        <v>20.989655172413791</v>
      </c>
      <c r="N6" s="2">
        <v>20.7</v>
      </c>
      <c r="O6" s="2">
        <v>5.8</v>
      </c>
      <c r="P6" s="2">
        <v>21.4</v>
      </c>
      <c r="Q6" s="2">
        <v>8.6999999999999993</v>
      </c>
      <c r="R6">
        <f>(1108*35+32*973)/(32+35)</f>
        <v>1043.5223880597016</v>
      </c>
      <c r="S6" s="2" t="s">
        <v>451</v>
      </c>
      <c r="T6" s="2">
        <v>0</v>
      </c>
      <c r="U6" s="2">
        <v>0</v>
      </c>
      <c r="V6" s="2">
        <v>12</v>
      </c>
      <c r="W6">
        <v>30</v>
      </c>
      <c r="X6" s="2">
        <v>0</v>
      </c>
      <c r="Y6" t="s">
        <v>476</v>
      </c>
      <c r="Z6" t="s">
        <v>33</v>
      </c>
      <c r="AA6" s="2">
        <v>14</v>
      </c>
      <c r="AB6" s="2">
        <v>7.2</v>
      </c>
      <c r="AC6" s="2">
        <v>14.4</v>
      </c>
      <c r="AD6" s="2">
        <v>6.8</v>
      </c>
      <c r="AE6" s="1">
        <f>(AA6-N6)-(AC6-P6)</f>
        <v>0.29999999999999893</v>
      </c>
      <c r="AF6" s="9">
        <f>SQRT( ((AB6^2+O6^2-2*0.5*AB6*O6)/G6) + ((AD6^2+Q6^2-2*0.5*AD6*Q6)/F6) )</f>
        <v>1.9751706305045755</v>
      </c>
      <c r="AG6" s="1">
        <f>_xlfn.T.DIST.2T(ABS(AE6/AF6), F6+G6-2)</f>
        <v>0.87982303616155022</v>
      </c>
      <c r="AH6" s="1"/>
      <c r="AI6" s="1"/>
      <c r="AJ6" s="1" t="s">
        <v>589</v>
      </c>
      <c r="AK6" t="s">
        <v>583</v>
      </c>
      <c r="AL6" s="3" t="s">
        <v>165</v>
      </c>
      <c r="AM6" s="3" t="s">
        <v>343</v>
      </c>
      <c r="AN6" s="3" t="s">
        <v>154</v>
      </c>
      <c r="AO6" s="3" t="s">
        <v>49</v>
      </c>
      <c r="AP6" s="3" t="s">
        <v>587</v>
      </c>
      <c r="AQ6" s="3" t="s">
        <v>155</v>
      </c>
      <c r="AR6" s="3" t="s">
        <v>42</v>
      </c>
      <c r="AS6" s="3" t="s">
        <v>156</v>
      </c>
      <c r="AT6" t="s">
        <v>160</v>
      </c>
      <c r="AU6" t="s">
        <v>157</v>
      </c>
      <c r="AV6" t="s">
        <v>159</v>
      </c>
      <c r="AW6">
        <v>80</v>
      </c>
      <c r="AX6" s="22" t="s">
        <v>567</v>
      </c>
      <c r="AY6" t="s">
        <v>161</v>
      </c>
      <c r="AZ6" t="s">
        <v>457</v>
      </c>
      <c r="BA6" t="s">
        <v>586</v>
      </c>
      <c r="BB6" t="s">
        <v>16</v>
      </c>
    </row>
    <row r="7" spans="1:54" ht="17" customHeight="1" x14ac:dyDescent="0.2">
      <c r="A7" t="s">
        <v>21</v>
      </c>
      <c r="B7">
        <v>4</v>
      </c>
      <c r="C7">
        <v>1999</v>
      </c>
      <c r="D7" t="s">
        <v>15</v>
      </c>
      <c r="E7" t="s">
        <v>27</v>
      </c>
      <c r="F7">
        <v>45</v>
      </c>
      <c r="G7">
        <v>44</v>
      </c>
      <c r="H7">
        <v>4</v>
      </c>
      <c r="I7" t="s">
        <v>345</v>
      </c>
      <c r="J7" t="s">
        <v>38</v>
      </c>
      <c r="K7" t="s">
        <v>34</v>
      </c>
      <c r="L7" t="s">
        <v>105</v>
      </c>
      <c r="M7">
        <f>((N7*G7)+(P7*F7))/(G7+F7)</f>
        <v>2.4863999999999997</v>
      </c>
      <c r="N7" s="2">
        <v>2.4863999999999997</v>
      </c>
      <c r="O7" s="2">
        <v>1.4504000000000001</v>
      </c>
      <c r="P7" s="2">
        <v>2.4863999999999997</v>
      </c>
      <c r="Q7" s="2">
        <v>1.4504000000000001</v>
      </c>
      <c r="R7">
        <v>477</v>
      </c>
      <c r="S7" s="2" t="s">
        <v>452</v>
      </c>
      <c r="V7" s="2"/>
      <c r="W7" s="2">
        <v>57.5</v>
      </c>
      <c r="X7" s="16">
        <v>0</v>
      </c>
      <c r="Y7" t="s">
        <v>475</v>
      </c>
      <c r="Z7" t="s">
        <v>34</v>
      </c>
      <c r="AA7" s="2">
        <v>3.5224000000000002</v>
      </c>
      <c r="AB7" s="2">
        <v>1.6576</v>
      </c>
      <c r="AC7" s="2">
        <v>4.5583999999999998</v>
      </c>
      <c r="AD7" s="2">
        <v>2.2791999999999999</v>
      </c>
      <c r="AE7" s="1">
        <f>(0.04-0.07)/0.04826</f>
        <v>-0.62163282221301297</v>
      </c>
      <c r="AF7" s="1">
        <f>SQRT( ((0.09^2)/G7) + ((0.1^2)/F7) ) /0.04826</f>
        <v>0.41767945306759113</v>
      </c>
      <c r="AG7" s="1">
        <f>_xlfn.T.DIST.2T(ABS(AE7/AF7), F7+G7-2)</f>
        <v>0.14028736663569252</v>
      </c>
      <c r="AH7" s="1"/>
      <c r="AI7" s="1"/>
      <c r="AJ7" s="1" t="s">
        <v>588</v>
      </c>
      <c r="AK7" t="s">
        <v>487</v>
      </c>
      <c r="AL7" s="3" t="s">
        <v>175</v>
      </c>
      <c r="AM7" s="3" t="s">
        <v>343</v>
      </c>
      <c r="AN7" s="3" t="s">
        <v>57</v>
      </c>
      <c r="AO7" s="3" t="s">
        <v>174</v>
      </c>
      <c r="AP7" s="3" t="s">
        <v>166</v>
      </c>
      <c r="AQ7" s="3" t="s">
        <v>60</v>
      </c>
      <c r="AR7" s="3" t="s">
        <v>44</v>
      </c>
      <c r="AS7" s="3" t="s">
        <v>440</v>
      </c>
      <c r="AT7" t="s">
        <v>170</v>
      </c>
      <c r="AU7" t="s">
        <v>171</v>
      </c>
      <c r="AV7" t="s">
        <v>168</v>
      </c>
      <c r="AW7">
        <v>83</v>
      </c>
      <c r="AX7" t="s">
        <v>172</v>
      </c>
      <c r="AZ7" t="s">
        <v>458</v>
      </c>
      <c r="BA7" t="s">
        <v>459</v>
      </c>
      <c r="BB7" t="s">
        <v>185</v>
      </c>
    </row>
    <row r="8" spans="1:54" ht="18" customHeight="1" x14ac:dyDescent="0.2">
      <c r="A8" t="s">
        <v>21</v>
      </c>
      <c r="B8">
        <v>4</v>
      </c>
      <c r="C8">
        <v>1999</v>
      </c>
      <c r="D8" t="s">
        <v>15</v>
      </c>
      <c r="E8" t="s">
        <v>27</v>
      </c>
      <c r="F8">
        <v>41</v>
      </c>
      <c r="G8">
        <v>40</v>
      </c>
      <c r="H8">
        <v>9</v>
      </c>
      <c r="I8" t="s">
        <v>345</v>
      </c>
      <c r="J8" t="s">
        <v>38</v>
      </c>
      <c r="K8" t="s">
        <v>34</v>
      </c>
      <c r="L8" t="s">
        <v>105</v>
      </c>
      <c r="M8">
        <f>((N8*G8)+(P8*F8))/(G8+F8)</f>
        <v>2.4863999999999997</v>
      </c>
      <c r="N8" s="2">
        <v>2.4863999999999997</v>
      </c>
      <c r="O8" s="2">
        <v>1.4504000000000001</v>
      </c>
      <c r="P8" s="2">
        <v>2.4863999999999997</v>
      </c>
      <c r="Q8" s="2">
        <v>1.4504000000000001</v>
      </c>
      <c r="R8">
        <v>477</v>
      </c>
      <c r="S8" s="2" t="s">
        <v>452</v>
      </c>
      <c r="V8" s="2"/>
      <c r="W8" s="2">
        <v>57.5</v>
      </c>
      <c r="X8" s="16">
        <v>0</v>
      </c>
      <c r="Y8" t="s">
        <v>475</v>
      </c>
      <c r="Z8" t="s">
        <v>34</v>
      </c>
      <c r="AA8" s="2">
        <v>4.7656000000000001</v>
      </c>
      <c r="AB8" s="2">
        <v>3.5224000000000002</v>
      </c>
      <c r="AC8" s="2">
        <v>4.9727999999999994</v>
      </c>
      <c r="AD8" s="2">
        <v>2.6936</v>
      </c>
      <c r="AE8" s="1">
        <f>(0.1-0.12)/0.04826</f>
        <v>-0.4144218814753417</v>
      </c>
      <c r="AF8" s="1">
        <f>SQRT( ((0.13^2)/G8) + ((0.18^2)/F8) ) /0.04826</f>
        <v>0.72160117595884044</v>
      </c>
      <c r="AG8" s="1">
        <f>_xlfn.T.DIST.2T(ABS(AE8/AF8), F8+G8-2)</f>
        <v>0.56739061569663929</v>
      </c>
      <c r="AH8" s="1"/>
      <c r="AI8" s="1"/>
      <c r="AJ8" s="1" t="s">
        <v>588</v>
      </c>
      <c r="AK8" t="s">
        <v>488</v>
      </c>
      <c r="AL8" s="3" t="s">
        <v>175</v>
      </c>
      <c r="AM8" s="3" t="s">
        <v>343</v>
      </c>
      <c r="AN8" s="3" t="s">
        <v>57</v>
      </c>
      <c r="AO8" s="3" t="s">
        <v>173</v>
      </c>
      <c r="AP8" s="3" t="s">
        <v>62</v>
      </c>
      <c r="AQ8" s="3" t="s">
        <v>60</v>
      </c>
      <c r="AR8" s="3" t="s">
        <v>44</v>
      </c>
      <c r="AS8" s="3" t="s">
        <v>440</v>
      </c>
      <c r="AT8" t="s">
        <v>170</v>
      </c>
      <c r="AU8" t="s">
        <v>171</v>
      </c>
      <c r="AV8" t="s">
        <v>168</v>
      </c>
      <c r="AW8">
        <v>83</v>
      </c>
      <c r="AX8" t="s">
        <v>172</v>
      </c>
      <c r="AZ8" t="s">
        <v>458</v>
      </c>
      <c r="BA8" t="s">
        <v>459</v>
      </c>
      <c r="BB8" t="s">
        <v>186</v>
      </c>
    </row>
    <row r="9" spans="1:54" x14ac:dyDescent="0.2">
      <c r="A9" t="s">
        <v>22</v>
      </c>
      <c r="B9">
        <v>5</v>
      </c>
      <c r="C9">
        <v>2003</v>
      </c>
      <c r="D9" t="s">
        <v>15</v>
      </c>
      <c r="E9" t="s">
        <v>25</v>
      </c>
      <c r="F9">
        <f>617*0.52</f>
        <v>320.84000000000003</v>
      </c>
      <c r="G9">
        <f>617*0.48</f>
        <v>296.15999999999997</v>
      </c>
      <c r="H9">
        <v>3</v>
      </c>
      <c r="I9" t="s">
        <v>346</v>
      </c>
      <c r="J9" t="s">
        <v>182</v>
      </c>
      <c r="K9" t="s">
        <v>179</v>
      </c>
      <c r="L9" t="s">
        <v>180</v>
      </c>
      <c r="M9">
        <f>((N9*G9)+(P9*F9))/(G9+F9)</f>
        <v>9.3040000000000003</v>
      </c>
      <c r="N9" s="2">
        <v>9.1999999999999993</v>
      </c>
      <c r="O9" s="2">
        <v>4.2</v>
      </c>
      <c r="P9" s="2">
        <v>9.4</v>
      </c>
      <c r="Q9" s="2">
        <v>5</v>
      </c>
      <c r="R9">
        <v>1137</v>
      </c>
      <c r="S9" s="2" t="s">
        <v>395</v>
      </c>
      <c r="X9">
        <v>20</v>
      </c>
      <c r="Y9" t="s">
        <v>475</v>
      </c>
      <c r="Z9" t="s">
        <v>179</v>
      </c>
      <c r="AA9" s="2" t="s">
        <v>95</v>
      </c>
      <c r="AB9" s="2" t="s">
        <v>95</v>
      </c>
      <c r="AC9" s="2" t="s">
        <v>95</v>
      </c>
      <c r="AD9" s="2" t="s">
        <v>95</v>
      </c>
      <c r="AE9" s="1">
        <v>-0.12</v>
      </c>
      <c r="AF9" s="1">
        <f xml:space="preserve"> (0.46--0.71)/(2*1.96)</f>
        <v>0.29846938775510201</v>
      </c>
      <c r="AG9" s="1"/>
      <c r="AH9" s="1">
        <v>-0.71</v>
      </c>
      <c r="AI9" s="1">
        <v>0.46</v>
      </c>
      <c r="AJ9" s="1" t="s">
        <v>580</v>
      </c>
      <c r="AK9" t="s">
        <v>489</v>
      </c>
      <c r="AL9" s="3" t="s">
        <v>214</v>
      </c>
      <c r="AM9" s="3" t="s">
        <v>343</v>
      </c>
      <c r="AN9" s="3" t="s">
        <v>61</v>
      </c>
      <c r="AO9" s="3" t="s">
        <v>67</v>
      </c>
      <c r="AP9" s="3" t="s">
        <v>181</v>
      </c>
      <c r="AQ9" s="3" t="s">
        <v>177</v>
      </c>
      <c r="AR9" s="3" t="s">
        <v>42</v>
      </c>
      <c r="AS9" s="3" t="s">
        <v>218</v>
      </c>
      <c r="AT9" t="s">
        <v>215</v>
      </c>
      <c r="AU9" t="s">
        <v>110</v>
      </c>
      <c r="AV9" t="s">
        <v>216</v>
      </c>
      <c r="AW9">
        <v>83</v>
      </c>
      <c r="AX9" t="s">
        <v>176</v>
      </c>
      <c r="AY9" t="s">
        <v>38</v>
      </c>
      <c r="AZ9" t="s">
        <v>462</v>
      </c>
      <c r="BA9" t="s">
        <v>408</v>
      </c>
      <c r="BB9" t="s">
        <v>187</v>
      </c>
    </row>
    <row r="10" spans="1:54" x14ac:dyDescent="0.2">
      <c r="A10" t="s">
        <v>22</v>
      </c>
      <c r="B10">
        <v>5</v>
      </c>
      <c r="C10">
        <v>2003</v>
      </c>
      <c r="D10" t="s">
        <v>15</v>
      </c>
      <c r="E10" t="s">
        <v>25</v>
      </c>
      <c r="F10">
        <f>617*0.52</f>
        <v>320.84000000000003</v>
      </c>
      <c r="G10">
        <f>617*0.48</f>
        <v>296.15999999999997</v>
      </c>
      <c r="H10">
        <v>6</v>
      </c>
      <c r="I10" t="s">
        <v>346</v>
      </c>
      <c r="J10" t="s">
        <v>182</v>
      </c>
      <c r="K10" t="s">
        <v>179</v>
      </c>
      <c r="L10" t="s">
        <v>180</v>
      </c>
      <c r="M10">
        <v>9.3040000000000003</v>
      </c>
      <c r="N10" s="2" t="s">
        <v>95</v>
      </c>
      <c r="O10" s="2" t="s">
        <v>95</v>
      </c>
      <c r="P10" s="2" t="s">
        <v>95</v>
      </c>
      <c r="Q10" s="2" t="s">
        <v>95</v>
      </c>
      <c r="R10">
        <v>1137</v>
      </c>
      <c r="S10" s="2" t="s">
        <v>395</v>
      </c>
      <c r="X10">
        <v>20</v>
      </c>
      <c r="Y10" t="s">
        <v>475</v>
      </c>
      <c r="Z10" t="s">
        <v>179</v>
      </c>
      <c r="AA10" s="2" t="s">
        <v>95</v>
      </c>
      <c r="AB10" s="2" t="s">
        <v>95</v>
      </c>
      <c r="AC10" s="2" t="s">
        <v>95</v>
      </c>
      <c r="AD10" s="2" t="s">
        <v>95</v>
      </c>
      <c r="AE10" s="1">
        <v>-0.22</v>
      </c>
      <c r="AF10" s="1">
        <f>(0.34--0.77)/(2*1.96)</f>
        <v>0.28316326530612246</v>
      </c>
      <c r="AG10" s="1"/>
      <c r="AH10" s="1">
        <v>-0.77</v>
      </c>
      <c r="AI10" s="1">
        <v>0.34</v>
      </c>
      <c r="AJ10" s="1" t="s">
        <v>581</v>
      </c>
      <c r="AK10" t="s">
        <v>490</v>
      </c>
      <c r="AL10" s="3" t="s">
        <v>214</v>
      </c>
      <c r="AM10" s="3" t="s">
        <v>343</v>
      </c>
      <c r="AN10" s="3" t="s">
        <v>61</v>
      </c>
      <c r="AO10" s="3" t="s">
        <v>67</v>
      </c>
      <c r="AP10" s="3" t="s">
        <v>63</v>
      </c>
      <c r="AQ10" s="3" t="s">
        <v>177</v>
      </c>
      <c r="AR10" s="3" t="s">
        <v>42</v>
      </c>
      <c r="AS10" s="3" t="s">
        <v>218</v>
      </c>
      <c r="AT10" t="s">
        <v>215</v>
      </c>
      <c r="AU10" t="s">
        <v>110</v>
      </c>
      <c r="AV10" t="s">
        <v>216</v>
      </c>
      <c r="AW10">
        <v>83</v>
      </c>
      <c r="AX10" t="s">
        <v>95</v>
      </c>
      <c r="AY10" t="s">
        <v>38</v>
      </c>
      <c r="AZ10" t="s">
        <v>462</v>
      </c>
      <c r="BA10" t="s">
        <v>408</v>
      </c>
      <c r="BB10" t="s">
        <v>334</v>
      </c>
    </row>
    <row r="11" spans="1:54" x14ac:dyDescent="0.2">
      <c r="A11" t="s">
        <v>23</v>
      </c>
      <c r="B11">
        <v>6</v>
      </c>
      <c r="C11">
        <v>2009</v>
      </c>
      <c r="D11" t="s">
        <v>15</v>
      </c>
      <c r="E11" t="s">
        <v>25</v>
      </c>
      <c r="F11">
        <v>336</v>
      </c>
      <c r="G11">
        <v>334</v>
      </c>
      <c r="H11">
        <v>3</v>
      </c>
      <c r="I11" t="s">
        <v>346</v>
      </c>
      <c r="J11" t="s">
        <v>35</v>
      </c>
      <c r="K11" t="s">
        <v>38</v>
      </c>
      <c r="L11" t="s">
        <v>180</v>
      </c>
      <c r="M11">
        <f>((N11*G11)+(P11*F11))/(G11+F11)</f>
        <v>3.9504477611940301</v>
      </c>
      <c r="N11" s="2">
        <v>3.8</v>
      </c>
      <c r="O11" s="2">
        <v>2</v>
      </c>
      <c r="P11" s="2">
        <v>4.0999999999999996</v>
      </c>
      <c r="Q11" s="2">
        <v>2</v>
      </c>
      <c r="R11">
        <v>900</v>
      </c>
      <c r="S11" s="2" t="s">
        <v>396</v>
      </c>
      <c r="X11">
        <v>30</v>
      </c>
      <c r="Y11" t="s">
        <v>475</v>
      </c>
      <c r="Z11" t="s">
        <v>38</v>
      </c>
      <c r="AA11" s="2" t="s">
        <v>95</v>
      </c>
      <c r="AB11" s="2" t="s">
        <v>95</v>
      </c>
      <c r="AC11" s="2" t="s">
        <v>95</v>
      </c>
      <c r="AD11" s="2" t="s">
        <v>95</v>
      </c>
      <c r="AE11" s="1">
        <f>-0.14*M11</f>
        <v>-0.55306268656716429</v>
      </c>
      <c r="AF11" s="1">
        <f>(EXP(ABS(-0.15)/_xlfn.NORM.S.INV(1-AG11/2))-1)*M11</f>
        <v>0.18425042867103111</v>
      </c>
      <c r="AG11" s="1">
        <v>1E-3</v>
      </c>
      <c r="AH11" s="1"/>
      <c r="AI11" s="1"/>
      <c r="AJ11" s="1" t="s">
        <v>576</v>
      </c>
      <c r="AK11" t="s">
        <v>516</v>
      </c>
      <c r="AL11" s="3" t="s">
        <v>214</v>
      </c>
      <c r="AM11" s="3" t="s">
        <v>343</v>
      </c>
      <c r="AN11" s="3" t="s">
        <v>61</v>
      </c>
      <c r="AO11" s="3" t="s">
        <v>67</v>
      </c>
      <c r="AP11" s="3" t="s">
        <v>221</v>
      </c>
      <c r="AQ11" s="3" t="s">
        <v>53</v>
      </c>
      <c r="AR11" s="3" t="s">
        <v>42</v>
      </c>
      <c r="AS11" s="3" t="s">
        <v>217</v>
      </c>
      <c r="AT11" t="s">
        <v>268</v>
      </c>
      <c r="AU11" t="s">
        <v>110</v>
      </c>
      <c r="AV11" t="s">
        <v>269</v>
      </c>
      <c r="AW11">
        <v>74</v>
      </c>
      <c r="AX11" t="s">
        <v>270</v>
      </c>
      <c r="AY11" t="s">
        <v>38</v>
      </c>
      <c r="AZ11" t="s">
        <v>463</v>
      </c>
      <c r="BA11" t="s">
        <v>568</v>
      </c>
      <c r="BB11" t="s">
        <v>225</v>
      </c>
    </row>
    <row r="12" spans="1:54" x14ac:dyDescent="0.2">
      <c r="A12" t="s">
        <v>23</v>
      </c>
      <c r="B12">
        <v>6</v>
      </c>
      <c r="C12">
        <v>2009</v>
      </c>
      <c r="D12" t="s">
        <v>15</v>
      </c>
      <c r="E12" t="s">
        <v>25</v>
      </c>
      <c r="F12">
        <v>336</v>
      </c>
      <c r="G12">
        <v>334</v>
      </c>
      <c r="H12">
        <v>3</v>
      </c>
      <c r="I12" t="s">
        <v>346</v>
      </c>
      <c r="J12" t="s">
        <v>35</v>
      </c>
      <c r="K12" t="s">
        <v>38</v>
      </c>
      <c r="L12" t="s">
        <v>180</v>
      </c>
      <c r="M12">
        <f>((N12*G12)+(P12*F12))/(G12+F12)</f>
        <v>3.9504477611940301</v>
      </c>
      <c r="N12" s="2">
        <v>3.8</v>
      </c>
      <c r="O12" s="2">
        <v>2</v>
      </c>
      <c r="P12" s="2">
        <v>4.0999999999999996</v>
      </c>
      <c r="Q12" s="2">
        <v>2</v>
      </c>
      <c r="R12">
        <v>900</v>
      </c>
      <c r="S12" s="2" t="s">
        <v>396</v>
      </c>
      <c r="X12">
        <v>30</v>
      </c>
      <c r="Y12" t="s">
        <v>475</v>
      </c>
      <c r="Z12" t="s">
        <v>38</v>
      </c>
      <c r="AA12" s="2" t="s">
        <v>95</v>
      </c>
      <c r="AB12" s="2" t="s">
        <v>95</v>
      </c>
      <c r="AC12" s="2" t="s">
        <v>95</v>
      </c>
      <c r="AD12" s="2" t="s">
        <v>95</v>
      </c>
      <c r="AE12" s="1">
        <f>-0.08*M12</f>
        <v>-0.3160358208955224</v>
      </c>
      <c r="AF12" s="1">
        <f>(EXP(ABS(-0.08)/_xlfn.NORM.S.INV(1-AG12/2))-1)*M12</f>
        <v>0.20102065050780601</v>
      </c>
      <c r="AG12" s="1">
        <v>0.107</v>
      </c>
      <c r="AH12" s="1"/>
      <c r="AI12" s="1"/>
      <c r="AJ12" s="1" t="s">
        <v>577</v>
      </c>
      <c r="AK12" t="s">
        <v>517</v>
      </c>
      <c r="AL12" s="3" t="s">
        <v>214</v>
      </c>
      <c r="AM12" s="3" t="s">
        <v>343</v>
      </c>
      <c r="AN12" s="3" t="s">
        <v>61</v>
      </c>
      <c r="AO12" s="3" t="s">
        <v>67</v>
      </c>
      <c r="AP12" s="3" t="s">
        <v>222</v>
      </c>
      <c r="AQ12" s="3" t="s">
        <v>53</v>
      </c>
      <c r="AR12" s="3" t="s">
        <v>42</v>
      </c>
      <c r="AS12" s="3" t="s">
        <v>217</v>
      </c>
      <c r="AT12" t="s">
        <v>268</v>
      </c>
      <c r="AU12" t="s">
        <v>110</v>
      </c>
      <c r="AV12" t="s">
        <v>269</v>
      </c>
      <c r="AW12">
        <v>74</v>
      </c>
      <c r="AX12" t="s">
        <v>270</v>
      </c>
      <c r="AY12" t="s">
        <v>38</v>
      </c>
      <c r="AZ12" t="s">
        <v>463</v>
      </c>
      <c r="BA12" t="s">
        <v>568</v>
      </c>
      <c r="BB12" t="s">
        <v>226</v>
      </c>
    </row>
    <row r="13" spans="1:54" x14ac:dyDescent="0.2">
      <c r="A13" t="s">
        <v>70</v>
      </c>
      <c r="B13">
        <v>7</v>
      </c>
      <c r="C13">
        <v>2017</v>
      </c>
      <c r="D13" t="s">
        <v>99</v>
      </c>
      <c r="E13" t="s">
        <v>71</v>
      </c>
      <c r="F13">
        <v>26</v>
      </c>
      <c r="G13">
        <v>30</v>
      </c>
      <c r="H13">
        <v>3</v>
      </c>
      <c r="I13" t="s">
        <v>345</v>
      </c>
      <c r="J13" t="s">
        <v>38</v>
      </c>
      <c r="K13" t="s">
        <v>104</v>
      </c>
      <c r="L13" t="s">
        <v>105</v>
      </c>
      <c r="M13">
        <f>((N13*G13)+(P13*F13))/(G13+F13)</f>
        <v>2.8138928571428572</v>
      </c>
      <c r="N13" s="2">
        <v>3.0529999999999999</v>
      </c>
      <c r="O13" s="2">
        <v>2.6760000000000002</v>
      </c>
      <c r="P13" s="2">
        <v>2.5379999999999998</v>
      </c>
      <c r="Q13" s="2">
        <f>P13*O13/N13</f>
        <v>2.2245948247625287</v>
      </c>
      <c r="R13">
        <v>395</v>
      </c>
      <c r="S13" s="16" t="s">
        <v>449</v>
      </c>
      <c r="V13" s="2">
        <v>13</v>
      </c>
      <c r="W13" s="2"/>
      <c r="X13">
        <v>40</v>
      </c>
      <c r="Y13" t="s">
        <v>475</v>
      </c>
      <c r="Z13" t="s">
        <v>104</v>
      </c>
      <c r="AA13" s="2">
        <v>0.1983</v>
      </c>
      <c r="AB13" s="2">
        <f>AA13*O13/N13</f>
        <v>0.17381290533901084</v>
      </c>
      <c r="AC13" s="2">
        <v>2.4620000000000002</v>
      </c>
      <c r="AD13" s="2">
        <f>AC13*O13/N13</f>
        <v>2.1579796921061254</v>
      </c>
      <c r="AE13" s="1">
        <f>(0.1983-3.053)-(2.462-2.538)</f>
        <v>-2.7787000000000002</v>
      </c>
      <c r="AF13" s="9">
        <f>SQRT( ((AB13^2+O13^2-2*0.5*AB13*O13)/G13) + ((AD13^2+Q13^2-2*0.5*AD13*Q13)/F13) )</f>
        <v>0.63954079509700146</v>
      </c>
      <c r="AG13" s="1">
        <f>_xlfn.T.DIST.2T(ABS(AE13/AF13), F13+G13-2)</f>
        <v>6.1900625989431895E-5</v>
      </c>
      <c r="AH13" s="1"/>
      <c r="AI13" s="1"/>
      <c r="AJ13" s="1" t="s">
        <v>423</v>
      </c>
      <c r="AL13" s="3" t="s">
        <v>107</v>
      </c>
      <c r="AM13" s="3" t="s">
        <v>343</v>
      </c>
      <c r="AN13" s="3" t="s">
        <v>297</v>
      </c>
      <c r="AO13" s="3" t="s">
        <v>78</v>
      </c>
      <c r="AP13" s="3" t="s">
        <v>51</v>
      </c>
      <c r="AQ13" s="3" t="s">
        <v>53</v>
      </c>
      <c r="AR13" s="3" t="s">
        <v>96</v>
      </c>
      <c r="AS13" s="3" t="s">
        <v>109</v>
      </c>
      <c r="AT13" t="s">
        <v>98</v>
      </c>
      <c r="AU13" t="s">
        <v>110</v>
      </c>
      <c r="AV13" t="s">
        <v>101</v>
      </c>
      <c r="AW13">
        <v>82</v>
      </c>
      <c r="AX13">
        <v>9.7000000000000003E-2</v>
      </c>
      <c r="AZ13" t="s">
        <v>464</v>
      </c>
    </row>
    <row r="14" spans="1:54" ht="17" customHeight="1" x14ac:dyDescent="0.2">
      <c r="A14" t="s">
        <v>106</v>
      </c>
      <c r="B14">
        <v>9</v>
      </c>
      <c r="C14">
        <v>2020</v>
      </c>
      <c r="D14" t="s">
        <v>99</v>
      </c>
      <c r="E14" t="s">
        <v>71</v>
      </c>
      <c r="F14">
        <v>25</v>
      </c>
      <c r="G14">
        <v>32</v>
      </c>
      <c r="H14">
        <v>3</v>
      </c>
      <c r="I14" t="s">
        <v>345</v>
      </c>
      <c r="J14" t="s">
        <v>38</v>
      </c>
      <c r="K14" t="s">
        <v>79</v>
      </c>
      <c r="L14" t="s">
        <v>103</v>
      </c>
      <c r="M14">
        <f>((2.1*32)+(2.04*25))/(32+25)</f>
        <v>2.073684210526316</v>
      </c>
      <c r="N14" s="2" t="s">
        <v>80</v>
      </c>
      <c r="O14" s="2" t="s">
        <v>84</v>
      </c>
      <c r="P14" s="2" t="s">
        <v>83</v>
      </c>
      <c r="Q14" s="2" t="s">
        <v>85</v>
      </c>
      <c r="R14">
        <v>395</v>
      </c>
      <c r="S14" s="16" t="s">
        <v>449</v>
      </c>
      <c r="V14">
        <v>13</v>
      </c>
      <c r="X14">
        <v>40</v>
      </c>
      <c r="Y14" t="s">
        <v>475</v>
      </c>
      <c r="Z14" t="s">
        <v>79</v>
      </c>
      <c r="AA14" s="2" t="s">
        <v>421</v>
      </c>
      <c r="AB14" s="2" t="s">
        <v>422</v>
      </c>
      <c r="AC14" s="2">
        <v>2.02</v>
      </c>
      <c r="AD14" s="2" t="s">
        <v>90</v>
      </c>
      <c r="AE14" s="1" t="s">
        <v>418</v>
      </c>
      <c r="AF14" s="1" t="s">
        <v>420</v>
      </c>
      <c r="AG14" s="1" t="s">
        <v>420</v>
      </c>
      <c r="AH14" s="1"/>
      <c r="AI14" s="1"/>
      <c r="AJ14" s="1" t="s">
        <v>419</v>
      </c>
      <c r="AK14" s="1" t="s">
        <v>590</v>
      </c>
      <c r="AL14" s="3" t="s">
        <v>94</v>
      </c>
      <c r="AM14" s="3" t="s">
        <v>343</v>
      </c>
      <c r="AN14" s="3" t="s">
        <v>108</v>
      </c>
      <c r="AO14" s="3" t="s">
        <v>78</v>
      </c>
      <c r="AP14" s="3" t="s">
        <v>51</v>
      </c>
      <c r="AQ14" s="3" t="s">
        <v>53</v>
      </c>
      <c r="AR14" s="3" t="s">
        <v>96</v>
      </c>
      <c r="AS14" s="3" t="s">
        <v>97</v>
      </c>
      <c r="AT14" t="s">
        <v>98</v>
      </c>
      <c r="AU14" t="s">
        <v>100</v>
      </c>
      <c r="AV14" t="s">
        <v>101</v>
      </c>
      <c r="AW14">
        <v>80</v>
      </c>
      <c r="AX14" t="s">
        <v>102</v>
      </c>
      <c r="AZ14" t="s">
        <v>465</v>
      </c>
    </row>
    <row r="15" spans="1:54" x14ac:dyDescent="0.2">
      <c r="A15" t="s">
        <v>74</v>
      </c>
      <c r="B15">
        <v>10</v>
      </c>
      <c r="C15">
        <v>2015</v>
      </c>
      <c r="D15" t="s">
        <v>15</v>
      </c>
      <c r="E15" t="s">
        <v>71</v>
      </c>
      <c r="F15">
        <v>102</v>
      </c>
      <c r="G15">
        <v>92</v>
      </c>
      <c r="H15">
        <v>3</v>
      </c>
      <c r="I15" t="s">
        <v>345</v>
      </c>
      <c r="J15" t="s">
        <v>38</v>
      </c>
      <c r="K15" t="s">
        <v>284</v>
      </c>
      <c r="L15" t="s">
        <v>285</v>
      </c>
      <c r="M15">
        <f>((N15*G15)+(P15*F15))/(G15+F15)</f>
        <v>14.221649484536082</v>
      </c>
      <c r="N15" s="2">
        <v>14.8</v>
      </c>
      <c r="O15" s="2">
        <v>7.5</v>
      </c>
      <c r="P15" s="2">
        <v>13.7</v>
      </c>
      <c r="Q15" s="2">
        <v>7.5</v>
      </c>
      <c r="R15">
        <v>395</v>
      </c>
      <c r="S15" s="16" t="s">
        <v>449</v>
      </c>
      <c r="U15" s="2">
        <v>10</v>
      </c>
      <c r="X15" s="2">
        <v>10</v>
      </c>
      <c r="Y15" t="s">
        <v>477</v>
      </c>
      <c r="Z15" t="s">
        <v>284</v>
      </c>
      <c r="AA15" s="2">
        <v>8.6999999999999993</v>
      </c>
      <c r="AB15" s="2">
        <v>4.5</v>
      </c>
      <c r="AC15" s="2">
        <v>12.1</v>
      </c>
      <c r="AD15" s="2">
        <v>6.8</v>
      </c>
      <c r="AE15" s="1">
        <f>(AA15-N15)-(AC15-P15)</f>
        <v>-4.5000000000000018</v>
      </c>
      <c r="AF15" s="1">
        <f>SQRT( (O15^2+AD15^2-2*0.5*O15*AD15)/F15 + (Q15^2+AB15^2-2*0.5*Q15*AB15)/G15 )</f>
        <v>0.98462065518254571</v>
      </c>
      <c r="AG15" s="1">
        <f>_xlfn.T.DIST.2T(ABS(AE15/AF15), F15+G15-2)</f>
        <v>8.7048363807331497E-6</v>
      </c>
      <c r="AH15" s="1"/>
      <c r="AI15" s="1"/>
      <c r="AJ15" s="1" t="s">
        <v>578</v>
      </c>
      <c r="AK15" t="s">
        <v>282</v>
      </c>
      <c r="AL15" s="3" t="s">
        <v>294</v>
      </c>
      <c r="AM15" s="3" t="s">
        <v>343</v>
      </c>
      <c r="AN15" s="3" t="s">
        <v>61</v>
      </c>
      <c r="AO15" s="3" t="s">
        <v>292</v>
      </c>
      <c r="AP15" s="3" t="s">
        <v>51</v>
      </c>
      <c r="AQ15" s="3" t="s">
        <v>290</v>
      </c>
      <c r="AR15" s="3" t="s">
        <v>275</v>
      </c>
      <c r="AS15" s="3" t="s">
        <v>291</v>
      </c>
      <c r="AT15" t="s">
        <v>289</v>
      </c>
      <c r="AU15" t="s">
        <v>288</v>
      </c>
      <c r="AV15" t="s">
        <v>287</v>
      </c>
      <c r="AW15">
        <v>80</v>
      </c>
      <c r="AX15" t="s">
        <v>286</v>
      </c>
      <c r="AZ15" t="s">
        <v>468</v>
      </c>
      <c r="BA15" t="s">
        <v>405</v>
      </c>
      <c r="BB15" t="s">
        <v>282</v>
      </c>
    </row>
    <row r="16" spans="1:54" x14ac:dyDescent="0.2">
      <c r="A16" t="s">
        <v>74</v>
      </c>
      <c r="B16">
        <v>10</v>
      </c>
      <c r="C16">
        <v>2015</v>
      </c>
      <c r="D16" t="s">
        <v>15</v>
      </c>
      <c r="E16" t="s">
        <v>71</v>
      </c>
      <c r="F16">
        <v>102</v>
      </c>
      <c r="G16">
        <v>103</v>
      </c>
      <c r="H16">
        <v>3</v>
      </c>
      <c r="I16" t="s">
        <v>345</v>
      </c>
      <c r="J16" t="s">
        <v>38</v>
      </c>
      <c r="K16" t="s">
        <v>284</v>
      </c>
      <c r="L16" t="s">
        <v>285</v>
      </c>
      <c r="M16">
        <f>((N16*G16)+(P16*F16))/(G16+F16)</f>
        <v>13.900975609756097</v>
      </c>
      <c r="N16" s="2">
        <v>14.1</v>
      </c>
      <c r="O16" s="2">
        <v>8.1</v>
      </c>
      <c r="P16" s="2">
        <v>13.7</v>
      </c>
      <c r="Q16" s="2">
        <v>7.5</v>
      </c>
      <c r="R16">
        <v>395</v>
      </c>
      <c r="S16" s="16" t="s">
        <v>449</v>
      </c>
      <c r="U16" s="2">
        <v>10</v>
      </c>
      <c r="X16" s="2">
        <v>10</v>
      </c>
      <c r="Y16" t="s">
        <v>477</v>
      </c>
      <c r="Z16" t="s">
        <v>284</v>
      </c>
      <c r="AA16" s="2">
        <v>7.1</v>
      </c>
      <c r="AB16" s="2">
        <v>2.7</v>
      </c>
      <c r="AC16" s="2">
        <v>12.1</v>
      </c>
      <c r="AD16" s="2">
        <v>6.8</v>
      </c>
      <c r="AE16" s="1">
        <f>(AA16-N16)-(AC16-P16)</f>
        <v>-5.4</v>
      </c>
      <c r="AF16" s="1">
        <f>SQRT( (O16^2+AD16^2-2*0.5*O16*AD16)/F16 + (Q16^2+AB16^2-2*0.5*Q16*AB16)/G16 )</f>
        <v>0.9883622259004553</v>
      </c>
      <c r="AG16" s="1">
        <f>_xlfn.T.DIST.2T(ABS(AE16/AF16), F16+G16-2)</f>
        <v>1.3577023481209899E-7</v>
      </c>
      <c r="AH16" s="1"/>
      <c r="AI16" s="1"/>
      <c r="AJ16" s="1" t="s">
        <v>578</v>
      </c>
      <c r="AK16" t="s">
        <v>283</v>
      </c>
      <c r="AL16" s="3" t="s">
        <v>294</v>
      </c>
      <c r="AM16" s="3" t="s">
        <v>343</v>
      </c>
      <c r="AN16" s="3" t="s">
        <v>61</v>
      </c>
      <c r="AO16" s="3" t="s">
        <v>293</v>
      </c>
      <c r="AP16" s="3" t="s">
        <v>51</v>
      </c>
      <c r="AQ16" s="3" t="s">
        <v>290</v>
      </c>
      <c r="AR16" s="3" t="s">
        <v>275</v>
      </c>
      <c r="AS16" s="3" t="s">
        <v>291</v>
      </c>
      <c r="AT16" t="s">
        <v>289</v>
      </c>
      <c r="AU16" t="s">
        <v>288</v>
      </c>
      <c r="AV16" t="s">
        <v>287</v>
      </c>
      <c r="AW16">
        <v>80</v>
      </c>
      <c r="AX16" t="s">
        <v>286</v>
      </c>
      <c r="AZ16" t="s">
        <v>468</v>
      </c>
      <c r="BA16" t="s">
        <v>405</v>
      </c>
      <c r="BB16" t="s">
        <v>283</v>
      </c>
    </row>
    <row r="17" spans="1:55" x14ac:dyDescent="0.2">
      <c r="A17" t="s">
        <v>75</v>
      </c>
      <c r="B17">
        <v>11</v>
      </c>
      <c r="C17">
        <v>2006</v>
      </c>
      <c r="D17" t="s">
        <v>15</v>
      </c>
      <c r="E17" t="s">
        <v>25</v>
      </c>
      <c r="F17">
        <v>128</v>
      </c>
      <c r="G17">
        <v>138</v>
      </c>
      <c r="H17">
        <v>4.5</v>
      </c>
      <c r="I17" t="s">
        <v>345</v>
      </c>
      <c r="J17" t="s">
        <v>38</v>
      </c>
      <c r="K17" t="s">
        <v>295</v>
      </c>
      <c r="L17" t="s">
        <v>105</v>
      </c>
      <c r="M17" s="2">
        <v>11.5</v>
      </c>
      <c r="N17" s="2">
        <v>12.7</v>
      </c>
      <c r="O17" s="2">
        <v>7.3</v>
      </c>
      <c r="P17" s="2">
        <v>10.8</v>
      </c>
      <c r="Q17" s="2">
        <v>5.5</v>
      </c>
      <c r="T17" s="2">
        <v>21.7</v>
      </c>
      <c r="X17">
        <v>14</v>
      </c>
      <c r="Y17" t="s">
        <v>478</v>
      </c>
      <c r="Z17" t="s">
        <v>295</v>
      </c>
      <c r="AA17" s="2" t="s">
        <v>95</v>
      </c>
      <c r="AB17" s="2" t="s">
        <v>95</v>
      </c>
      <c r="AC17" s="2" t="s">
        <v>95</v>
      </c>
      <c r="AD17" s="2" t="s">
        <v>95</v>
      </c>
      <c r="AE17" s="1">
        <v>-0.3</v>
      </c>
      <c r="AF17" s="1">
        <f>((-0.04)-(-0.6))/(2*1.96)</f>
        <v>0.14285714285714285</v>
      </c>
      <c r="AG17" s="1" t="s">
        <v>311</v>
      </c>
      <c r="AH17" s="1">
        <v>-0.6</v>
      </c>
      <c r="AI17" s="1">
        <v>0</v>
      </c>
      <c r="AJ17" s="1" t="s">
        <v>579</v>
      </c>
      <c r="AL17" s="3" t="s">
        <v>300</v>
      </c>
      <c r="AM17" s="3" t="s">
        <v>48</v>
      </c>
      <c r="AN17" s="3" t="s">
        <v>307</v>
      </c>
      <c r="AO17" s="3" t="s">
        <v>308</v>
      </c>
      <c r="AP17" s="3" t="s">
        <v>16</v>
      </c>
      <c r="AQ17" s="3" t="s">
        <v>298</v>
      </c>
      <c r="AR17" s="3" t="s">
        <v>275</v>
      </c>
      <c r="AS17" s="3" t="s">
        <v>109</v>
      </c>
      <c r="AT17" t="s">
        <v>303</v>
      </c>
      <c r="AU17" t="s">
        <v>110</v>
      </c>
      <c r="AV17" t="s">
        <v>299</v>
      </c>
      <c r="AW17">
        <v>90</v>
      </c>
      <c r="AY17" t="s">
        <v>302</v>
      </c>
      <c r="AZ17" t="s">
        <v>469</v>
      </c>
      <c r="BA17" t="s">
        <v>405</v>
      </c>
      <c r="BB17" t="s">
        <v>301</v>
      </c>
    </row>
    <row r="18" spans="1:55" ht="23" customHeight="1" x14ac:dyDescent="0.2">
      <c r="A18" t="s">
        <v>24</v>
      </c>
      <c r="B18">
        <v>12</v>
      </c>
      <c r="C18">
        <v>2011</v>
      </c>
      <c r="D18" t="s">
        <v>348</v>
      </c>
      <c r="E18" t="s">
        <v>29</v>
      </c>
      <c r="F18">
        <v>117</v>
      </c>
      <c r="G18">
        <v>103</v>
      </c>
      <c r="H18">
        <v>15</v>
      </c>
      <c r="I18" t="s">
        <v>345</v>
      </c>
      <c r="J18" t="s">
        <v>38</v>
      </c>
      <c r="K18" t="s">
        <v>32</v>
      </c>
      <c r="L18">
        <f>((52*103)+(62*117))/(103+117)</f>
        <v>57.31818181818182</v>
      </c>
      <c r="M18">
        <f t="shared" ref="M18:M20" si="0">((N18*G18)+(P18*F18))/(G18+F18)</f>
        <v>10.13409090909091</v>
      </c>
      <c r="N18" s="8">
        <v>10.4</v>
      </c>
      <c r="O18" s="8">
        <v>6.7</v>
      </c>
      <c r="P18" s="8">
        <v>9.9</v>
      </c>
      <c r="Q18" s="8">
        <v>6.3</v>
      </c>
      <c r="R18">
        <v>200</v>
      </c>
      <c r="S18" s="21" t="s">
        <v>453</v>
      </c>
      <c r="X18">
        <v>75</v>
      </c>
      <c r="Y18" t="s">
        <v>475</v>
      </c>
      <c r="Z18" t="s">
        <v>32</v>
      </c>
      <c r="AA18" s="8">
        <v>6.4</v>
      </c>
      <c r="AB18" s="8">
        <v>4.8</v>
      </c>
      <c r="AC18" s="8">
        <v>7.5</v>
      </c>
      <c r="AD18" s="8">
        <v>4.5999999999999996</v>
      </c>
      <c r="AE18" s="24">
        <f>-4--2.3</f>
        <v>-1.7000000000000002</v>
      </c>
      <c r="AF18" s="9">
        <f>SQRT( ((AB18^2+O18^2-2*0.5*AB18*O18)/G18) + ((AD18^2+Q18^2-2*0.5*AD18*Q18)/F18) )</f>
        <v>0.78719420462248113</v>
      </c>
      <c r="AG18" s="9">
        <f>_xlfn.T.DIST.2T(ABS(AE18/AF18), F18+G18-2)</f>
        <v>3.1897486781672778E-2</v>
      </c>
      <c r="AH18" s="9"/>
      <c r="AI18" s="9"/>
      <c r="AJ18" s="23" t="s">
        <v>582</v>
      </c>
      <c r="AK18" s="13" t="s">
        <v>511</v>
      </c>
      <c r="AL18" t="s">
        <v>351</v>
      </c>
      <c r="AM18" s="10" t="s">
        <v>343</v>
      </c>
      <c r="AN18" s="10" t="s">
        <v>65</v>
      </c>
      <c r="AO18" s="10" t="s">
        <v>68</v>
      </c>
      <c r="AP18" s="10" t="s">
        <v>52</v>
      </c>
      <c r="AQ18" s="10" t="s">
        <v>69</v>
      </c>
      <c r="AR18" s="10" t="s">
        <v>45</v>
      </c>
      <c r="AS18" s="10" t="s">
        <v>352</v>
      </c>
      <c r="AT18" t="s">
        <v>354</v>
      </c>
      <c r="AU18" s="11" t="s">
        <v>355</v>
      </c>
      <c r="AV18" s="11" t="s">
        <v>356</v>
      </c>
      <c r="AW18">
        <v>60</v>
      </c>
      <c r="AX18" t="s">
        <v>349</v>
      </c>
      <c r="AY18" t="s">
        <v>409</v>
      </c>
      <c r="AZ18" t="s">
        <v>471</v>
      </c>
      <c r="BA18" s="13" t="s">
        <v>404</v>
      </c>
      <c r="BB18" s="13" t="s">
        <v>359</v>
      </c>
      <c r="BC18" s="13"/>
    </row>
    <row r="19" spans="1:55" ht="23" customHeight="1" x14ac:dyDescent="0.2">
      <c r="A19" t="s">
        <v>24</v>
      </c>
      <c r="B19">
        <v>12</v>
      </c>
      <c r="C19">
        <v>2011</v>
      </c>
      <c r="D19" t="s">
        <v>348</v>
      </c>
      <c r="E19" t="s">
        <v>29</v>
      </c>
      <c r="F19">
        <v>117</v>
      </c>
      <c r="G19">
        <v>138</v>
      </c>
      <c r="H19">
        <v>15</v>
      </c>
      <c r="I19" t="s">
        <v>345</v>
      </c>
      <c r="J19" t="s">
        <v>38</v>
      </c>
      <c r="K19" t="s">
        <v>32</v>
      </c>
      <c r="L19">
        <f>((70*138)+(62*117))/(138+117)</f>
        <v>66.329411764705881</v>
      </c>
      <c r="M19">
        <f t="shared" si="0"/>
        <v>11.361176470588235</v>
      </c>
      <c r="N19" s="8">
        <v>12.6</v>
      </c>
      <c r="O19" s="8">
        <v>9.3000000000000007</v>
      </c>
      <c r="P19" s="8">
        <v>9.9</v>
      </c>
      <c r="Q19" s="8">
        <v>6.3</v>
      </c>
      <c r="R19">
        <v>200</v>
      </c>
      <c r="S19" s="8" t="s">
        <v>454</v>
      </c>
      <c r="X19">
        <v>75</v>
      </c>
      <c r="Y19" t="s">
        <v>475</v>
      </c>
      <c r="Z19" t="s">
        <v>32</v>
      </c>
      <c r="AA19" s="8">
        <v>9.8000000000000007</v>
      </c>
      <c r="AB19" s="8">
        <v>7.9</v>
      </c>
      <c r="AC19" s="8">
        <v>7.5</v>
      </c>
      <c r="AD19" s="8">
        <v>4.5999999999999996</v>
      </c>
      <c r="AE19" s="9">
        <f>-2.8--2.3</f>
        <v>-0.5</v>
      </c>
      <c r="AF19" s="9">
        <f>SQRT( ((AB19^2+O19^2-2*0.5*AB19*O19)/G19) + ((AD19^2+Q19^2-2*0.5*AD19*Q19)/F19) )</f>
        <v>0.90497920710462354</v>
      </c>
      <c r="AG19" s="9">
        <f>_xlfn.T.DIST.2T(ABS(AE19/AF19), F19+G19-2)</f>
        <v>0.58109437699116651</v>
      </c>
      <c r="AH19" s="9"/>
      <c r="AI19" s="9"/>
      <c r="AJ19" s="23" t="s">
        <v>582</v>
      </c>
      <c r="AK19" s="13" t="s">
        <v>510</v>
      </c>
      <c r="AL19" t="s">
        <v>351</v>
      </c>
      <c r="AM19" s="10" t="s">
        <v>343</v>
      </c>
      <c r="AN19" s="10" t="s">
        <v>61</v>
      </c>
      <c r="AO19" s="10" t="s">
        <v>66</v>
      </c>
      <c r="AP19" s="10" t="s">
        <v>52</v>
      </c>
      <c r="AQ19" s="10" t="s">
        <v>52</v>
      </c>
      <c r="AR19" s="10" t="s">
        <v>45</v>
      </c>
      <c r="AS19" s="10" t="s">
        <v>353</v>
      </c>
      <c r="AT19" t="s">
        <v>354</v>
      </c>
      <c r="AU19" s="11" t="s">
        <v>355</v>
      </c>
      <c r="AV19" s="11" t="s">
        <v>356</v>
      </c>
      <c r="AW19">
        <v>60</v>
      </c>
      <c r="AX19" t="s">
        <v>349</v>
      </c>
      <c r="AY19" t="s">
        <v>410</v>
      </c>
      <c r="AZ19" t="s">
        <v>471</v>
      </c>
      <c r="BA19" s="13" t="s">
        <v>357</v>
      </c>
      <c r="BB19" s="13" t="s">
        <v>358</v>
      </c>
      <c r="BC19" s="13"/>
    </row>
    <row r="20" spans="1:55" ht="28" customHeight="1" x14ac:dyDescent="0.2">
      <c r="A20" t="s">
        <v>375</v>
      </c>
      <c r="B20">
        <v>13</v>
      </c>
      <c r="C20">
        <v>2016</v>
      </c>
      <c r="D20" t="s">
        <v>15</v>
      </c>
      <c r="E20" t="s">
        <v>374</v>
      </c>
      <c r="F20">
        <v>102</v>
      </c>
      <c r="G20">
        <v>99</v>
      </c>
      <c r="H20">
        <v>6.4</v>
      </c>
      <c r="I20" t="s">
        <v>345</v>
      </c>
      <c r="J20" t="s">
        <v>38</v>
      </c>
      <c r="K20" t="s">
        <v>377</v>
      </c>
      <c r="L20">
        <v>40</v>
      </c>
      <c r="M20">
        <f t="shared" si="0"/>
        <v>4.0644776119402986</v>
      </c>
      <c r="N20" s="2">
        <v>4.0999999999999996</v>
      </c>
      <c r="O20" s="2">
        <v>1.4038853686257999</v>
      </c>
      <c r="P20" s="2">
        <v>4.03</v>
      </c>
      <c r="Q20" s="2">
        <v>1.3491591373418921</v>
      </c>
      <c r="T20" s="2">
        <v>32</v>
      </c>
      <c r="U20" s="12">
        <v>21</v>
      </c>
      <c r="V20" s="2">
        <v>11.5</v>
      </c>
      <c r="W20" s="2">
        <v>17</v>
      </c>
      <c r="X20" s="12">
        <v>21</v>
      </c>
      <c r="Y20" t="s">
        <v>479</v>
      </c>
      <c r="Z20" t="s">
        <v>377</v>
      </c>
      <c r="AA20" s="2">
        <v>3.3</v>
      </c>
      <c r="AB20" s="2">
        <v>0.92756711855633145</v>
      </c>
      <c r="AC20" s="2">
        <v>3.66</v>
      </c>
      <c r="AD20" s="2">
        <v>0.99277747842139197</v>
      </c>
      <c r="AE20" s="9">
        <f>(AA20-N20)-(AC20-P20)</f>
        <v>-0.42999999999999972</v>
      </c>
      <c r="AF20" s="9">
        <f>SQRT(
  ((4.4-3.84)/(2*1.96))^2 + ((3.48-3.11)/(2*1.96))^2 - 2*0.5*((4.4-3.84)/(2*1.96))*((3.48-3.11)/(2*1.96))
+ ((4.31-3.78)/(2*1.96))^2 + ((3.86-3.47)/(2*1.96))^2 - 2*0.5*((4.31-3.78)/(2*1.96))*((3.86-3.47)/(2*1.96))
)</f>
        <v>0.17481471121440631</v>
      </c>
      <c r="AG20" s="9">
        <f>_xlfn.T.DIST.2T(ABS(AE20/AF20), F20+G20-2)</f>
        <v>1.4756720811154457E-2</v>
      </c>
      <c r="AH20" s="1"/>
      <c r="AI20" s="1"/>
      <c r="AJ20" s="23" t="s">
        <v>572</v>
      </c>
      <c r="AK20" t="s">
        <v>512</v>
      </c>
      <c r="AL20" s="3" t="s">
        <v>382</v>
      </c>
      <c r="AM20" s="3" t="s">
        <v>46</v>
      </c>
      <c r="AN20" s="3" t="s">
        <v>384</v>
      </c>
      <c r="AO20" s="3" t="s">
        <v>412</v>
      </c>
      <c r="AP20" t="s">
        <v>389</v>
      </c>
      <c r="AQ20" s="3" t="s">
        <v>390</v>
      </c>
      <c r="AR20" s="3" t="s">
        <v>275</v>
      </c>
      <c r="AS20" s="3" t="s">
        <v>109</v>
      </c>
      <c r="AT20" s="14" t="s">
        <v>391</v>
      </c>
      <c r="AU20" s="14" t="s">
        <v>110</v>
      </c>
      <c r="AV20" s="14" t="s">
        <v>392</v>
      </c>
      <c r="AW20">
        <v>97</v>
      </c>
      <c r="AX20" s="15" t="s">
        <v>393</v>
      </c>
      <c r="AY20" t="s">
        <v>411</v>
      </c>
      <c r="AZ20" t="s">
        <v>376</v>
      </c>
      <c r="BA20" s="13" t="s">
        <v>376</v>
      </c>
      <c r="BB20" s="13" t="s">
        <v>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83CB-028E-EC4F-ACE7-90947CFCEB81}">
  <dimension ref="A1:BC63"/>
  <sheetViews>
    <sheetView zoomScale="134" workbookViewId="0">
      <pane xSplit="1" ySplit="1" topLeftCell="AC2" activePane="bottomRight" state="frozen"/>
      <selection pane="topRight" activeCell="B1" sqref="B1"/>
      <selection pane="bottomLeft" activeCell="A2" sqref="A2"/>
      <selection pane="bottomRight" sqref="A1:XFD1048576"/>
    </sheetView>
  </sheetViews>
  <sheetFormatPr baseColWidth="10" defaultRowHeight="16" x14ac:dyDescent="0.2"/>
  <cols>
    <col min="1" max="1" width="19" customWidth="1"/>
    <col min="4" max="5" width="14.83203125" customWidth="1"/>
    <col min="6" max="6" width="51.6640625" customWidth="1"/>
    <col min="7" max="7" width="14.33203125" customWidth="1"/>
    <col min="8" max="8" width="11" customWidth="1"/>
    <col min="9" max="12" width="14.83203125" customWidth="1"/>
    <col min="13" max="13" width="34.1640625" customWidth="1"/>
    <col min="14" max="14" width="34.6640625" customWidth="1"/>
    <col min="15" max="15" width="29.1640625" customWidth="1"/>
    <col min="16" max="16" width="14.83203125" customWidth="1"/>
    <col min="17" max="17" width="27.83203125" customWidth="1"/>
    <col min="18" max="18" width="37.83203125" customWidth="1"/>
    <col min="19" max="19" width="62.33203125" customWidth="1"/>
    <col min="20" max="26" width="14.83203125" customWidth="1"/>
    <col min="27" max="27" width="28.1640625" customWidth="1"/>
    <col min="28" max="28" width="23.6640625" customWidth="1"/>
    <col min="29" max="29" width="21.1640625" customWidth="1"/>
    <col min="30" max="30" width="28.83203125" customWidth="1"/>
    <col min="31" max="46" width="14.83203125" customWidth="1"/>
    <col min="47" max="47" width="24.83203125" customWidth="1"/>
    <col min="48" max="48" width="45.1640625" customWidth="1"/>
    <col min="49" max="49" width="51.83203125" customWidth="1"/>
    <col min="50" max="50" width="20.1640625" customWidth="1"/>
    <col min="51" max="51" width="15" customWidth="1"/>
    <col min="52" max="52" width="53.5" customWidth="1"/>
    <col min="53" max="53" width="82.5" customWidth="1"/>
    <col min="54" max="54" width="17" customWidth="1"/>
  </cols>
  <sheetData>
    <row r="1" spans="1:55" s="4" customFormat="1" ht="45" customHeight="1" x14ac:dyDescent="0.2">
      <c r="A1" s="4" t="s">
        <v>0</v>
      </c>
      <c r="B1" t="s">
        <v>313</v>
      </c>
      <c r="C1" t="s">
        <v>312</v>
      </c>
      <c r="D1" s="4" t="s">
        <v>1</v>
      </c>
      <c r="E1" s="4" t="s">
        <v>2</v>
      </c>
      <c r="F1" s="4" t="s">
        <v>135</v>
      </c>
      <c r="G1" s="4" t="s">
        <v>134</v>
      </c>
      <c r="H1" s="4" t="s">
        <v>41</v>
      </c>
      <c r="I1" s="4" t="s">
        <v>344</v>
      </c>
      <c r="J1" s="4" t="s">
        <v>37</v>
      </c>
      <c r="K1" s="4" t="s">
        <v>36</v>
      </c>
      <c r="L1" s="4" t="s">
        <v>111</v>
      </c>
      <c r="M1" s="4" t="s">
        <v>347</v>
      </c>
      <c r="N1" s="5" t="s">
        <v>82</v>
      </c>
      <c r="O1" s="5" t="s">
        <v>77</v>
      </c>
      <c r="P1" s="5" t="s">
        <v>81</v>
      </c>
      <c r="Q1" s="5" t="s">
        <v>76</v>
      </c>
      <c r="R1" t="s">
        <v>448</v>
      </c>
      <c r="S1" s="5" t="s">
        <v>450</v>
      </c>
      <c r="T1" s="5" t="s">
        <v>394</v>
      </c>
      <c r="U1" s="5" t="s">
        <v>415</v>
      </c>
      <c r="V1" s="5" t="s">
        <v>399</v>
      </c>
      <c r="W1" s="5" t="s">
        <v>400</v>
      </c>
      <c r="X1" s="5" t="s">
        <v>483</v>
      </c>
      <c r="Y1" t="s">
        <v>455</v>
      </c>
      <c r="Z1" s="4" t="s">
        <v>36</v>
      </c>
      <c r="AA1" s="5" t="s">
        <v>328</v>
      </c>
      <c r="AB1" s="5" t="s">
        <v>329</v>
      </c>
      <c r="AC1" s="5" t="s">
        <v>330</v>
      </c>
      <c r="AD1" s="5" t="s">
        <v>331</v>
      </c>
      <c r="AE1" s="6" t="s">
        <v>112</v>
      </c>
      <c r="AF1" s="6" t="s">
        <v>183</v>
      </c>
      <c r="AG1" s="6" t="s">
        <v>91</v>
      </c>
      <c r="AH1" s="6" t="s">
        <v>315</v>
      </c>
      <c r="AI1" s="6" t="s">
        <v>316</v>
      </c>
      <c r="AJ1" s="6" t="s">
        <v>318</v>
      </c>
      <c r="AK1" s="7" t="s">
        <v>93</v>
      </c>
      <c r="AL1" s="7" t="s">
        <v>342</v>
      </c>
      <c r="AM1" s="7" t="s">
        <v>40</v>
      </c>
      <c r="AN1" s="7" t="s">
        <v>7</v>
      </c>
      <c r="AO1" s="7" t="s">
        <v>8</v>
      </c>
      <c r="AP1" s="7" t="s">
        <v>9</v>
      </c>
      <c r="AQ1" s="7" t="s">
        <v>10</v>
      </c>
      <c r="AR1" s="7" t="s">
        <v>11</v>
      </c>
      <c r="AS1" s="4" t="s">
        <v>12</v>
      </c>
      <c r="AT1" s="4" t="s">
        <v>13</v>
      </c>
      <c r="AU1" s="4" t="s">
        <v>169</v>
      </c>
      <c r="AV1" s="4" t="s">
        <v>416</v>
      </c>
      <c r="AW1" s="4" t="s">
        <v>14</v>
      </c>
      <c r="AX1" s="4" t="s">
        <v>397</v>
      </c>
      <c r="AY1" s="4" t="s">
        <v>460</v>
      </c>
      <c r="AZ1" s="4" t="s">
        <v>132</v>
      </c>
      <c r="BA1" s="4" t="s">
        <v>184</v>
      </c>
      <c r="BB1" s="4" t="s">
        <v>485</v>
      </c>
      <c r="BC1" s="4" t="s">
        <v>112</v>
      </c>
    </row>
    <row r="2" spans="1:55" x14ac:dyDescent="0.2">
      <c r="A2" t="s">
        <v>17</v>
      </c>
      <c r="B2">
        <v>1</v>
      </c>
      <c r="C2">
        <v>2006</v>
      </c>
      <c r="D2" t="s">
        <v>15</v>
      </c>
      <c r="E2" t="s">
        <v>25</v>
      </c>
      <c r="F2">
        <v>122</v>
      </c>
      <c r="G2">
        <v>129</v>
      </c>
      <c r="H2">
        <v>6</v>
      </c>
      <c r="I2" t="s">
        <v>345</v>
      </c>
      <c r="J2" t="s">
        <v>38</v>
      </c>
      <c r="K2" t="s">
        <v>31</v>
      </c>
      <c r="L2">
        <v>53.7</v>
      </c>
      <c r="M2">
        <f>((N2*G2)+(P2*F2))/(G2+F2)</f>
        <v>11.625099601593623</v>
      </c>
      <c r="N2" s="2">
        <v>12.5</v>
      </c>
      <c r="O2" s="2">
        <v>7.3</v>
      </c>
      <c r="P2" s="2">
        <v>10.7</v>
      </c>
      <c r="Q2" s="2">
        <v>5.88</v>
      </c>
      <c r="T2" s="2">
        <v>12</v>
      </c>
      <c r="U2" s="2">
        <v>10</v>
      </c>
      <c r="V2" s="2">
        <v>13</v>
      </c>
      <c r="W2" s="5"/>
      <c r="X2" s="2">
        <v>20</v>
      </c>
      <c r="Y2" t="s">
        <v>473</v>
      </c>
      <c r="Z2" t="s">
        <v>31</v>
      </c>
      <c r="AA2" s="2">
        <v>10.88</v>
      </c>
      <c r="AB2" s="2" t="s">
        <v>114</v>
      </c>
      <c r="AC2" s="2">
        <v>9.2200000000000006</v>
      </c>
      <c r="AD2" s="2" t="s">
        <v>113</v>
      </c>
      <c r="AE2" s="1">
        <v>-0.14000000000000001</v>
      </c>
      <c r="AF2" s="1">
        <v>0.195746402159967</v>
      </c>
      <c r="AG2" s="1" t="s">
        <v>115</v>
      </c>
      <c r="AH2" s="1"/>
      <c r="AI2" s="1"/>
      <c r="AJ2" s="1" t="s">
        <v>319</v>
      </c>
      <c r="AK2" s="3" t="s">
        <v>150</v>
      </c>
      <c r="AL2" s="3" t="s">
        <v>46</v>
      </c>
      <c r="AM2" s="3" t="s">
        <v>116</v>
      </c>
      <c r="AN2" s="3" t="s">
        <v>54</v>
      </c>
      <c r="AO2" s="3" t="s">
        <v>16</v>
      </c>
      <c r="AP2" s="3" t="s">
        <v>53</v>
      </c>
      <c r="AQ2" s="3" t="s">
        <v>42</v>
      </c>
      <c r="AR2" s="3" t="s">
        <v>109</v>
      </c>
      <c r="AS2" t="s">
        <v>120</v>
      </c>
      <c r="AT2" t="s">
        <v>110</v>
      </c>
      <c r="AU2" t="s">
        <v>101</v>
      </c>
      <c r="AV2">
        <v>90</v>
      </c>
      <c r="AW2" t="s">
        <v>121</v>
      </c>
      <c r="AX2" t="s">
        <v>131</v>
      </c>
      <c r="AY2" t="s">
        <v>461</v>
      </c>
      <c r="BA2" t="s">
        <v>46</v>
      </c>
      <c r="BB2" t="s">
        <v>46</v>
      </c>
      <c r="BC2">
        <v>-0.14000000000000001</v>
      </c>
    </row>
    <row r="3" spans="1:55" x14ac:dyDescent="0.2">
      <c r="A3" t="s">
        <v>17</v>
      </c>
      <c r="B3">
        <v>1</v>
      </c>
      <c r="C3">
        <v>2006</v>
      </c>
      <c r="D3" t="s">
        <v>15</v>
      </c>
      <c r="E3" t="s">
        <v>25</v>
      </c>
      <c r="F3">
        <v>122</v>
      </c>
      <c r="G3">
        <v>113</v>
      </c>
      <c r="H3">
        <v>6</v>
      </c>
      <c r="I3" t="s">
        <v>345</v>
      </c>
      <c r="J3" t="s">
        <v>38</v>
      </c>
      <c r="K3" t="s">
        <v>31</v>
      </c>
      <c r="L3">
        <v>57.3</v>
      </c>
      <c r="M3">
        <f>((N3*G3)+(P3*F3))/(G3+F3)</f>
        <v>10.7</v>
      </c>
      <c r="N3" s="2">
        <v>10.7</v>
      </c>
      <c r="O3" s="2">
        <v>4.54</v>
      </c>
      <c r="P3" s="2">
        <v>10.7</v>
      </c>
      <c r="Q3" s="2">
        <v>5.88</v>
      </c>
      <c r="T3" s="2">
        <v>12</v>
      </c>
      <c r="U3" s="2">
        <v>10</v>
      </c>
      <c r="V3" s="2">
        <v>13</v>
      </c>
      <c r="W3" s="2"/>
      <c r="X3" s="2">
        <v>20</v>
      </c>
      <c r="Y3" t="s">
        <v>473</v>
      </c>
      <c r="Z3" t="s">
        <v>31</v>
      </c>
      <c r="AA3" s="2">
        <v>9.5</v>
      </c>
      <c r="AB3" s="2" t="s">
        <v>113</v>
      </c>
      <c r="AC3" s="2">
        <v>9.2200000000000006</v>
      </c>
      <c r="AD3" s="2" t="s">
        <v>113</v>
      </c>
      <c r="AE3" s="1">
        <v>-0.27999999999999903</v>
      </c>
      <c r="AF3" s="1">
        <v>0.202370168003395</v>
      </c>
      <c r="AG3" s="1" t="s">
        <v>115</v>
      </c>
      <c r="AH3" s="1"/>
      <c r="AI3" s="1"/>
      <c r="AJ3" s="1" t="s">
        <v>319</v>
      </c>
      <c r="AK3" s="3" t="s">
        <v>150</v>
      </c>
      <c r="AL3" s="3" t="s">
        <v>296</v>
      </c>
      <c r="AM3" s="3" t="s">
        <v>117</v>
      </c>
      <c r="AN3" s="3" t="s">
        <v>55</v>
      </c>
      <c r="AO3" s="3" t="s">
        <v>16</v>
      </c>
      <c r="AP3" s="3" t="s">
        <v>53</v>
      </c>
      <c r="AQ3" s="3" t="s">
        <v>42</v>
      </c>
      <c r="AR3" s="3" t="s">
        <v>109</v>
      </c>
      <c r="AS3" t="s">
        <v>120</v>
      </c>
      <c r="AT3" t="s">
        <v>110</v>
      </c>
      <c r="AU3" t="s">
        <v>101</v>
      </c>
      <c r="AV3">
        <v>90</v>
      </c>
      <c r="AW3" t="s">
        <v>121</v>
      </c>
      <c r="AX3" t="s">
        <v>131</v>
      </c>
      <c r="AY3" t="s">
        <v>461</v>
      </c>
      <c r="BA3" t="s">
        <v>47</v>
      </c>
      <c r="BB3" t="s">
        <v>47</v>
      </c>
      <c r="BC3">
        <v>-0.27999999999999903</v>
      </c>
    </row>
    <row r="4" spans="1:55" x14ac:dyDescent="0.2">
      <c r="A4" t="s">
        <v>17</v>
      </c>
      <c r="B4">
        <v>1</v>
      </c>
      <c r="C4">
        <v>2006</v>
      </c>
      <c r="D4" t="s">
        <v>15</v>
      </c>
      <c r="E4" t="s">
        <v>25</v>
      </c>
      <c r="F4">
        <v>122</v>
      </c>
      <c r="G4">
        <v>117</v>
      </c>
      <c r="H4">
        <v>6</v>
      </c>
      <c r="I4" t="s">
        <v>345</v>
      </c>
      <c r="J4" t="s">
        <v>38</v>
      </c>
      <c r="K4" t="s">
        <v>31</v>
      </c>
      <c r="L4">
        <v>59.1</v>
      </c>
      <c r="M4">
        <f>((N4*G4)+(P4*F4))/(G4+F4)</f>
        <v>11.189539748953974</v>
      </c>
      <c r="N4" s="2">
        <v>11.7</v>
      </c>
      <c r="O4" s="2">
        <v>5.66</v>
      </c>
      <c r="P4" s="2">
        <v>10.7</v>
      </c>
      <c r="Q4" s="2">
        <v>5.88</v>
      </c>
      <c r="T4" s="2">
        <v>12</v>
      </c>
      <c r="U4" s="2">
        <v>10</v>
      </c>
      <c r="V4" s="2">
        <v>13</v>
      </c>
      <c r="W4" s="2"/>
      <c r="X4" s="2">
        <v>20</v>
      </c>
      <c r="Y4" t="s">
        <v>473</v>
      </c>
      <c r="Z4" t="s">
        <v>31</v>
      </c>
      <c r="AA4" s="2">
        <v>9.93</v>
      </c>
      <c r="AB4" s="2" t="s">
        <v>113</v>
      </c>
      <c r="AC4" s="2">
        <v>9.2200000000000006</v>
      </c>
      <c r="AD4" s="2" t="s">
        <v>113</v>
      </c>
      <c r="AE4" s="1">
        <v>0.29000000000000098</v>
      </c>
      <c r="AF4" s="1">
        <v>0.19990674931303601</v>
      </c>
      <c r="AG4" s="1" t="s">
        <v>115</v>
      </c>
      <c r="AH4" s="1"/>
      <c r="AI4" s="1"/>
      <c r="AJ4" s="1" t="s">
        <v>319</v>
      </c>
      <c r="AK4" s="3" t="s">
        <v>150</v>
      </c>
      <c r="AL4" s="3" t="s">
        <v>48</v>
      </c>
      <c r="AM4" s="3" t="s">
        <v>48</v>
      </c>
      <c r="AN4" s="3" t="s">
        <v>56</v>
      </c>
      <c r="AO4" s="3" t="s">
        <v>16</v>
      </c>
      <c r="AP4" s="3" t="s">
        <v>53</v>
      </c>
      <c r="AQ4" s="3" t="s">
        <v>42</v>
      </c>
      <c r="AR4" s="3" t="s">
        <v>109</v>
      </c>
      <c r="AS4" t="s">
        <v>120</v>
      </c>
      <c r="AT4" t="s">
        <v>110</v>
      </c>
      <c r="AU4" t="s">
        <v>101</v>
      </c>
      <c r="AV4">
        <v>90</v>
      </c>
      <c r="AW4" t="s">
        <v>121</v>
      </c>
      <c r="AX4" t="s">
        <v>131</v>
      </c>
      <c r="AY4" t="s">
        <v>461</v>
      </c>
      <c r="BA4" t="s">
        <v>48</v>
      </c>
      <c r="BB4" t="s">
        <v>486</v>
      </c>
      <c r="BC4">
        <v>0.29000000000000098</v>
      </c>
    </row>
    <row r="5" spans="1:55" s="18" customFormat="1" x14ac:dyDescent="0.2">
      <c r="A5" s="18" t="s">
        <v>18</v>
      </c>
      <c r="B5" s="18">
        <v>2</v>
      </c>
      <c r="C5" s="18">
        <v>2006</v>
      </c>
      <c r="D5" s="18" t="s">
        <v>15</v>
      </c>
      <c r="E5" s="18" t="s">
        <v>26</v>
      </c>
      <c r="F5" s="18">
        <v>68</v>
      </c>
      <c r="G5" s="18">
        <v>66</v>
      </c>
      <c r="H5" s="18">
        <v>4</v>
      </c>
      <c r="I5" s="18" t="s">
        <v>345</v>
      </c>
      <c r="J5" s="18" t="s">
        <v>38</v>
      </c>
      <c r="K5" s="18" t="s">
        <v>30</v>
      </c>
      <c r="L5" s="18" t="s">
        <v>122</v>
      </c>
      <c r="M5" s="18">
        <v>12.05</v>
      </c>
      <c r="N5" s="19" t="s">
        <v>139</v>
      </c>
      <c r="O5" s="19" t="s">
        <v>136</v>
      </c>
      <c r="P5" s="19" t="s">
        <v>137</v>
      </c>
      <c r="Q5" s="19" t="s">
        <v>138</v>
      </c>
      <c r="T5" s="19">
        <v>70</v>
      </c>
      <c r="U5" s="19">
        <v>21</v>
      </c>
      <c r="V5" s="19"/>
      <c r="W5" s="19">
        <v>15</v>
      </c>
      <c r="X5" s="19">
        <v>21</v>
      </c>
      <c r="Y5" s="18" t="s">
        <v>474</v>
      </c>
      <c r="Z5" s="18" t="s">
        <v>30</v>
      </c>
      <c r="AA5" s="19" t="s">
        <v>140</v>
      </c>
      <c r="AB5" s="19" t="s">
        <v>142</v>
      </c>
      <c r="AC5" s="19" t="s">
        <v>141</v>
      </c>
      <c r="AD5" s="19" t="s">
        <v>143</v>
      </c>
      <c r="AE5" s="18">
        <v>-2.2000000000000002</v>
      </c>
      <c r="AF5" s="18">
        <v>7.4999999999999997E-2</v>
      </c>
      <c r="AG5" s="18" t="s">
        <v>149</v>
      </c>
      <c r="AJ5" s="18" t="s">
        <v>571</v>
      </c>
      <c r="AK5" s="20" t="s">
        <v>151</v>
      </c>
      <c r="AL5" s="20" t="s">
        <v>46</v>
      </c>
      <c r="AM5" s="20" t="s">
        <v>59</v>
      </c>
      <c r="AN5" s="20" t="s">
        <v>123</v>
      </c>
      <c r="AO5" s="20" t="s">
        <v>16</v>
      </c>
      <c r="AP5" s="20" t="s">
        <v>124</v>
      </c>
      <c r="AQ5" s="20" t="s">
        <v>125</v>
      </c>
      <c r="AR5" s="20" t="s">
        <v>109</v>
      </c>
      <c r="AS5" s="18" t="s">
        <v>126</v>
      </c>
      <c r="AT5" s="18" t="s">
        <v>127</v>
      </c>
      <c r="AU5" s="18" t="s">
        <v>158</v>
      </c>
      <c r="AV5" s="18">
        <v>80</v>
      </c>
      <c r="AW5" s="18" t="s">
        <v>128</v>
      </c>
      <c r="AX5" s="18" t="s">
        <v>130</v>
      </c>
      <c r="AY5" s="18" t="s">
        <v>472</v>
      </c>
      <c r="AZ5" s="18" t="s">
        <v>133</v>
      </c>
      <c r="BC5" s="18">
        <v>-2.2000000000000002</v>
      </c>
    </row>
    <row r="6" spans="1:55" x14ac:dyDescent="0.2">
      <c r="A6" t="s">
        <v>20</v>
      </c>
      <c r="B6">
        <v>3</v>
      </c>
      <c r="C6">
        <v>2004</v>
      </c>
      <c r="D6" t="s">
        <v>15</v>
      </c>
      <c r="E6" t="s">
        <v>27</v>
      </c>
      <c r="F6">
        <v>32</v>
      </c>
      <c r="G6">
        <v>35</v>
      </c>
      <c r="H6">
        <v>6</v>
      </c>
      <c r="I6" t="s">
        <v>345</v>
      </c>
      <c r="J6" t="s">
        <v>38</v>
      </c>
      <c r="K6" t="s">
        <v>33</v>
      </c>
      <c r="L6" t="s">
        <v>105</v>
      </c>
      <c r="M6">
        <f>((N6*G6)+(P6*F6))/(G6+F6)</f>
        <v>21.034328358208956</v>
      </c>
      <c r="N6" s="2">
        <v>20.7</v>
      </c>
      <c r="O6" s="2">
        <v>5.8</v>
      </c>
      <c r="P6" s="2">
        <v>21.4</v>
      </c>
      <c r="Q6" s="2">
        <v>8.6999999999999993</v>
      </c>
      <c r="R6">
        <f>(1108*35+32*973)/(32+35)</f>
        <v>1043.5223880597016</v>
      </c>
      <c r="S6" s="2" t="s">
        <v>451</v>
      </c>
      <c r="T6" s="2">
        <v>0</v>
      </c>
      <c r="U6" s="2">
        <v>0</v>
      </c>
      <c r="V6" s="2">
        <v>12</v>
      </c>
      <c r="W6">
        <v>30</v>
      </c>
      <c r="X6" s="2">
        <v>0</v>
      </c>
      <c r="Y6" t="s">
        <v>476</v>
      </c>
      <c r="Z6" t="s">
        <v>33</v>
      </c>
      <c r="AA6" s="2">
        <v>15.1</v>
      </c>
      <c r="AB6" s="2">
        <v>6.3</v>
      </c>
      <c r="AC6" s="2">
        <v>16.600000000000001</v>
      </c>
      <c r="AD6" s="2">
        <v>7.2</v>
      </c>
      <c r="AE6" s="1">
        <f>(AA6-N6)-(AC6-P6)</f>
        <v>-0.80000000000000249</v>
      </c>
      <c r="AF6" s="1">
        <v>1.66</v>
      </c>
      <c r="AG6" s="1" t="s">
        <v>164</v>
      </c>
      <c r="AH6" s="1"/>
      <c r="AI6" s="1"/>
      <c r="AJ6" s="1" t="s">
        <v>320</v>
      </c>
      <c r="AK6" s="3" t="s">
        <v>165</v>
      </c>
      <c r="AL6" s="3" t="s">
        <v>343</v>
      </c>
      <c r="AM6" s="3" t="s">
        <v>154</v>
      </c>
      <c r="AN6" s="3" t="s">
        <v>49</v>
      </c>
      <c r="AO6" s="3" t="s">
        <v>51</v>
      </c>
      <c r="AP6" s="3" t="s">
        <v>155</v>
      </c>
      <c r="AQ6" s="3" t="s">
        <v>42</v>
      </c>
      <c r="AR6" s="3" t="s">
        <v>156</v>
      </c>
      <c r="AS6" t="s">
        <v>160</v>
      </c>
      <c r="AT6" t="s">
        <v>157</v>
      </c>
      <c r="AU6" t="s">
        <v>159</v>
      </c>
      <c r="AV6">
        <v>80</v>
      </c>
      <c r="AW6" s="22" t="s">
        <v>567</v>
      </c>
      <c r="AX6" t="s">
        <v>161</v>
      </c>
      <c r="AY6" t="s">
        <v>457</v>
      </c>
      <c r="AZ6" t="s">
        <v>456</v>
      </c>
      <c r="BC6">
        <v>-0.80000000000000249</v>
      </c>
    </row>
    <row r="7" spans="1:55" ht="17" customHeight="1" x14ac:dyDescent="0.2">
      <c r="A7" t="s">
        <v>21</v>
      </c>
      <c r="B7">
        <v>4</v>
      </c>
      <c r="C7">
        <v>1999</v>
      </c>
      <c r="D7" t="s">
        <v>15</v>
      </c>
      <c r="E7" t="s">
        <v>27</v>
      </c>
      <c r="F7">
        <v>45</v>
      </c>
      <c r="G7">
        <v>44</v>
      </c>
      <c r="H7">
        <v>4</v>
      </c>
      <c r="I7" t="s">
        <v>345</v>
      </c>
      <c r="J7" t="s">
        <v>38</v>
      </c>
      <c r="K7" t="s">
        <v>34</v>
      </c>
      <c r="L7" t="s">
        <v>105</v>
      </c>
      <c r="M7">
        <f>((N7*G7)+(P7*F7))/(G7+F7)</f>
        <v>2.4863999999999997</v>
      </c>
      <c r="N7" s="2">
        <v>2.4863999999999997</v>
      </c>
      <c r="O7" s="2">
        <v>1.4504000000000001</v>
      </c>
      <c r="P7" s="2">
        <v>2.4863999999999997</v>
      </c>
      <c r="Q7" s="2">
        <v>1.4504000000000001</v>
      </c>
      <c r="R7">
        <v>477</v>
      </c>
      <c r="S7" s="2" t="s">
        <v>452</v>
      </c>
      <c r="V7" s="2"/>
      <c r="W7" s="2">
        <v>57.5</v>
      </c>
      <c r="X7" s="16">
        <v>0</v>
      </c>
      <c r="Y7" t="s">
        <v>475</v>
      </c>
      <c r="Z7" t="s">
        <v>34</v>
      </c>
      <c r="AA7" s="2">
        <v>3.5224000000000002</v>
      </c>
      <c r="AB7" s="2">
        <v>1.6576</v>
      </c>
      <c r="AC7" s="2">
        <v>4.5583999999999998</v>
      </c>
      <c r="AD7" s="2">
        <v>2.2791999999999999</v>
      </c>
      <c r="AE7" s="1">
        <f>(AA7-N7)-(AC7-P7)</f>
        <v>-1.0359999999999996</v>
      </c>
      <c r="AF7" s="1">
        <f>SQRT((AD7^2)/F7 + (AB7^2)/G7)</f>
        <v>0.42176446066830747</v>
      </c>
      <c r="AG7" s="1">
        <f>_xlfn.T.DIST.2T(ABS(AE7/AF7), F7+G7-2)</f>
        <v>1.6022773024322885E-2</v>
      </c>
      <c r="AH7" s="1"/>
      <c r="AI7" s="1"/>
      <c r="AJ7" s="1" t="s">
        <v>402</v>
      </c>
      <c r="AK7" s="3" t="s">
        <v>175</v>
      </c>
      <c r="AL7" s="3" t="s">
        <v>343</v>
      </c>
      <c r="AM7" s="3" t="s">
        <v>57</v>
      </c>
      <c r="AN7" s="3" t="s">
        <v>174</v>
      </c>
      <c r="AO7" s="3" t="s">
        <v>166</v>
      </c>
      <c r="AP7" s="3" t="s">
        <v>60</v>
      </c>
      <c r="AQ7" s="3" t="s">
        <v>44</v>
      </c>
      <c r="AR7" s="3" t="s">
        <v>440</v>
      </c>
      <c r="AS7" t="s">
        <v>170</v>
      </c>
      <c r="AT7" t="s">
        <v>171</v>
      </c>
      <c r="AU7" t="s">
        <v>168</v>
      </c>
      <c r="AV7">
        <v>83</v>
      </c>
      <c r="AW7" t="s">
        <v>172</v>
      </c>
      <c r="AY7" t="s">
        <v>458</v>
      </c>
      <c r="AZ7" t="s">
        <v>459</v>
      </c>
      <c r="BA7" t="s">
        <v>185</v>
      </c>
      <c r="BB7" t="s">
        <v>487</v>
      </c>
      <c r="BC7">
        <v>-1.0359999999999996</v>
      </c>
    </row>
    <row r="8" spans="1:55" ht="17" customHeight="1" x14ac:dyDescent="0.2">
      <c r="A8" t="s">
        <v>21</v>
      </c>
      <c r="B8">
        <v>4</v>
      </c>
      <c r="C8">
        <v>1999</v>
      </c>
      <c r="D8" t="s">
        <v>15</v>
      </c>
      <c r="E8" t="s">
        <v>27</v>
      </c>
      <c r="F8">
        <v>41</v>
      </c>
      <c r="G8">
        <v>40</v>
      </c>
      <c r="H8">
        <v>9</v>
      </c>
      <c r="I8" t="s">
        <v>345</v>
      </c>
      <c r="J8" t="s">
        <v>38</v>
      </c>
      <c r="K8" t="s">
        <v>34</v>
      </c>
      <c r="L8" t="s">
        <v>105</v>
      </c>
      <c r="M8">
        <f>((N8*G8)+(P8*F8))/(G8+F8)</f>
        <v>2.4863999999999997</v>
      </c>
      <c r="N8" s="2">
        <v>2.4863999999999997</v>
      </c>
      <c r="O8" s="2">
        <v>1.4504000000000001</v>
      </c>
      <c r="P8" s="2">
        <v>2.4863999999999997</v>
      </c>
      <c r="Q8" s="2">
        <v>1.4504000000000001</v>
      </c>
      <c r="R8">
        <v>477</v>
      </c>
      <c r="S8" s="2" t="s">
        <v>452</v>
      </c>
      <c r="V8" s="2"/>
      <c r="W8" s="2">
        <v>57.5</v>
      </c>
      <c r="X8" s="16">
        <v>0</v>
      </c>
      <c r="Y8" t="s">
        <v>475</v>
      </c>
      <c r="Z8" t="s">
        <v>34</v>
      </c>
      <c r="AA8" s="2">
        <v>4.7656000000000001</v>
      </c>
      <c r="AB8" s="2">
        <v>3.5224000000000002</v>
      </c>
      <c r="AC8" s="2">
        <v>4.9727999999999994</v>
      </c>
      <c r="AD8" s="2">
        <v>2.6936</v>
      </c>
      <c r="AE8" s="1">
        <f>(AA8-N8)-(AC8-P8)</f>
        <v>-0.20719999999999938</v>
      </c>
      <c r="AF8" s="1">
        <f>SQRT((AD8^2)/F8 + (AB8^2)/G8)</f>
        <v>0.69795808917434465</v>
      </c>
      <c r="AG8" s="1">
        <f>_xlfn.T.DIST.2T(ABS(AE8/AF8), F8+G8-2)</f>
        <v>0.76734797488286621</v>
      </c>
      <c r="AH8" s="1"/>
      <c r="AI8" s="1"/>
      <c r="AJ8" s="1" t="s">
        <v>403</v>
      </c>
      <c r="AK8" s="3" t="s">
        <v>175</v>
      </c>
      <c r="AL8" s="3" t="s">
        <v>343</v>
      </c>
      <c r="AM8" s="3" t="s">
        <v>57</v>
      </c>
      <c r="AN8" s="3" t="s">
        <v>173</v>
      </c>
      <c r="AO8" s="3" t="s">
        <v>62</v>
      </c>
      <c r="AP8" s="3" t="s">
        <v>60</v>
      </c>
      <c r="AQ8" s="3" t="s">
        <v>44</v>
      </c>
      <c r="AR8" s="3" t="s">
        <v>440</v>
      </c>
      <c r="AS8" t="s">
        <v>170</v>
      </c>
      <c r="AT8" t="s">
        <v>171</v>
      </c>
      <c r="AU8" t="s">
        <v>168</v>
      </c>
      <c r="AV8">
        <v>83</v>
      </c>
      <c r="AW8" t="s">
        <v>172</v>
      </c>
      <c r="AY8" t="s">
        <v>458</v>
      </c>
      <c r="AZ8" t="s">
        <v>459</v>
      </c>
      <c r="BA8" t="s">
        <v>186</v>
      </c>
      <c r="BB8" t="s">
        <v>488</v>
      </c>
      <c r="BC8">
        <v>-0.20719999999999938</v>
      </c>
    </row>
    <row r="9" spans="1:55" x14ac:dyDescent="0.2">
      <c r="A9" t="s">
        <v>22</v>
      </c>
      <c r="B9">
        <v>5</v>
      </c>
      <c r="C9">
        <v>2003</v>
      </c>
      <c r="D9" t="s">
        <v>15</v>
      </c>
      <c r="E9" t="s">
        <v>25</v>
      </c>
      <c r="F9">
        <f>617*0.52</f>
        <v>320.84000000000003</v>
      </c>
      <c r="G9">
        <f>617*0.48</f>
        <v>296.15999999999997</v>
      </c>
      <c r="H9">
        <v>3</v>
      </c>
      <c r="I9" t="s">
        <v>346</v>
      </c>
      <c r="J9" t="s">
        <v>182</v>
      </c>
      <c r="K9" t="s">
        <v>179</v>
      </c>
      <c r="L9" t="s">
        <v>180</v>
      </c>
      <c r="M9">
        <f>((N9*G9)+(P9*F9))/(G9+F9)</f>
        <v>9.3040000000000003</v>
      </c>
      <c r="N9" s="2">
        <v>9.1999999999999993</v>
      </c>
      <c r="O9" s="2">
        <v>4.2</v>
      </c>
      <c r="P9" s="2">
        <v>9.4</v>
      </c>
      <c r="Q9" s="2">
        <v>5</v>
      </c>
      <c r="R9">
        <v>1137</v>
      </c>
      <c r="S9" s="2" t="s">
        <v>395</v>
      </c>
      <c r="X9">
        <v>20</v>
      </c>
      <c r="Y9" t="s">
        <v>475</v>
      </c>
      <c r="Z9" t="s">
        <v>179</v>
      </c>
      <c r="AA9" s="2" t="s">
        <v>95</v>
      </c>
      <c r="AB9" s="2" t="s">
        <v>95</v>
      </c>
      <c r="AC9" s="2" t="s">
        <v>95</v>
      </c>
      <c r="AD9" s="2" t="s">
        <v>95</v>
      </c>
      <c r="AE9" s="1">
        <v>-0.12</v>
      </c>
      <c r="AF9" s="1" t="s">
        <v>199</v>
      </c>
      <c r="AG9" s="1"/>
      <c r="AH9" s="1">
        <v>-0.71</v>
      </c>
      <c r="AI9" s="1">
        <v>0.46</v>
      </c>
      <c r="AJ9" s="1" t="s">
        <v>324</v>
      </c>
      <c r="AK9" s="3" t="s">
        <v>214</v>
      </c>
      <c r="AL9" s="3" t="s">
        <v>343</v>
      </c>
      <c r="AM9" s="3" t="s">
        <v>61</v>
      </c>
      <c r="AN9" s="3" t="s">
        <v>67</v>
      </c>
      <c r="AO9" s="3" t="s">
        <v>181</v>
      </c>
      <c r="AP9" s="3" t="s">
        <v>177</v>
      </c>
      <c r="AQ9" s="3" t="s">
        <v>42</v>
      </c>
      <c r="AR9" s="3" t="s">
        <v>218</v>
      </c>
      <c r="AS9" t="s">
        <v>215</v>
      </c>
      <c r="AT9" t="s">
        <v>110</v>
      </c>
      <c r="AU9" t="s">
        <v>216</v>
      </c>
      <c r="AV9">
        <v>83</v>
      </c>
      <c r="AW9" t="s">
        <v>176</v>
      </c>
      <c r="AX9" t="s">
        <v>38</v>
      </c>
      <c r="AY9" t="s">
        <v>462</v>
      </c>
      <c r="AZ9" t="s">
        <v>408</v>
      </c>
      <c r="BA9" t="s">
        <v>187</v>
      </c>
      <c r="BB9" t="s">
        <v>489</v>
      </c>
      <c r="BC9">
        <v>-0.12</v>
      </c>
    </row>
    <row r="10" spans="1:55" x14ac:dyDescent="0.2">
      <c r="A10" t="s">
        <v>22</v>
      </c>
      <c r="B10">
        <v>5</v>
      </c>
      <c r="C10">
        <v>2003</v>
      </c>
      <c r="D10" t="s">
        <v>15</v>
      </c>
      <c r="E10" t="s">
        <v>25</v>
      </c>
      <c r="F10">
        <f>617*0.52</f>
        <v>320.84000000000003</v>
      </c>
      <c r="G10">
        <f>617*0.48</f>
        <v>296.15999999999997</v>
      </c>
      <c r="H10">
        <v>6</v>
      </c>
      <c r="I10" t="s">
        <v>346</v>
      </c>
      <c r="J10" t="s">
        <v>182</v>
      </c>
      <c r="K10" t="s">
        <v>179</v>
      </c>
      <c r="L10" t="s">
        <v>180</v>
      </c>
      <c r="M10">
        <v>9.3040000000000003</v>
      </c>
      <c r="N10" s="2" t="s">
        <v>95</v>
      </c>
      <c r="O10" s="2" t="s">
        <v>95</v>
      </c>
      <c r="P10" s="2" t="s">
        <v>95</v>
      </c>
      <c r="Q10" s="2" t="s">
        <v>95</v>
      </c>
      <c r="R10">
        <v>1137</v>
      </c>
      <c r="S10" s="2" t="s">
        <v>395</v>
      </c>
      <c r="X10">
        <v>20</v>
      </c>
      <c r="Y10" t="s">
        <v>475</v>
      </c>
      <c r="Z10" t="s">
        <v>179</v>
      </c>
      <c r="AA10" s="2" t="s">
        <v>95</v>
      </c>
      <c r="AB10" s="2" t="s">
        <v>95</v>
      </c>
      <c r="AC10" s="2" t="s">
        <v>95</v>
      </c>
      <c r="AD10" s="2" t="s">
        <v>95</v>
      </c>
      <c r="AE10" s="1">
        <v>-0.22</v>
      </c>
      <c r="AF10" s="1" t="s">
        <v>200</v>
      </c>
      <c r="AG10" s="1"/>
      <c r="AH10" s="1">
        <v>-0.77</v>
      </c>
      <c r="AI10" s="1">
        <v>0.34</v>
      </c>
      <c r="AJ10" s="1" t="s">
        <v>324</v>
      </c>
      <c r="AK10" s="3" t="s">
        <v>214</v>
      </c>
      <c r="AL10" s="3" t="s">
        <v>343</v>
      </c>
      <c r="AM10" s="3" t="s">
        <v>61</v>
      </c>
      <c r="AN10" s="3" t="s">
        <v>67</v>
      </c>
      <c r="AO10" s="3" t="s">
        <v>63</v>
      </c>
      <c r="AP10" s="3" t="s">
        <v>177</v>
      </c>
      <c r="AQ10" s="3" t="s">
        <v>42</v>
      </c>
      <c r="AR10" s="3" t="s">
        <v>218</v>
      </c>
      <c r="AS10" t="s">
        <v>215</v>
      </c>
      <c r="AT10" t="s">
        <v>110</v>
      </c>
      <c r="AU10" t="s">
        <v>216</v>
      </c>
      <c r="AV10">
        <v>83</v>
      </c>
      <c r="AW10" t="s">
        <v>95</v>
      </c>
      <c r="AX10" t="s">
        <v>38</v>
      </c>
      <c r="AY10" t="s">
        <v>462</v>
      </c>
      <c r="AZ10" t="s">
        <v>408</v>
      </c>
      <c r="BA10" t="s">
        <v>334</v>
      </c>
      <c r="BB10" t="s">
        <v>490</v>
      </c>
      <c r="BC10">
        <v>-0.22</v>
      </c>
    </row>
    <row r="11" spans="1:55" x14ac:dyDescent="0.2">
      <c r="A11" t="s">
        <v>22</v>
      </c>
      <c r="B11">
        <v>5</v>
      </c>
      <c r="C11">
        <v>2003</v>
      </c>
      <c r="D11" t="s">
        <v>15</v>
      </c>
      <c r="E11" t="s">
        <v>25</v>
      </c>
      <c r="F11">
        <f>F9/617*610</f>
        <v>317.2</v>
      </c>
      <c r="G11">
        <f>G9/617*610</f>
        <v>292.79999999999995</v>
      </c>
      <c r="H11">
        <v>6</v>
      </c>
      <c r="I11" t="s">
        <v>346</v>
      </c>
      <c r="J11" t="s">
        <v>182</v>
      </c>
      <c r="K11" t="s">
        <v>179</v>
      </c>
      <c r="L11" t="s">
        <v>180</v>
      </c>
      <c r="M11">
        <v>9.3040000000000003</v>
      </c>
      <c r="N11" s="2" t="s">
        <v>95</v>
      </c>
      <c r="O11" s="2" t="s">
        <v>95</v>
      </c>
      <c r="P11" s="2" t="s">
        <v>95</v>
      </c>
      <c r="Q11" s="2" t="s">
        <v>95</v>
      </c>
      <c r="R11">
        <v>1137</v>
      </c>
      <c r="S11" s="2" t="s">
        <v>395</v>
      </c>
      <c r="X11">
        <v>20</v>
      </c>
      <c r="Y11" t="s">
        <v>475</v>
      </c>
      <c r="Z11" t="s">
        <v>179</v>
      </c>
      <c r="AA11" s="2" t="s">
        <v>95</v>
      </c>
      <c r="AB11" s="2" t="s">
        <v>95</v>
      </c>
      <c r="AC11" s="2" t="s">
        <v>95</v>
      </c>
      <c r="AD11" s="2" t="s">
        <v>95</v>
      </c>
      <c r="AE11" s="1">
        <v>-0.28999999999999998</v>
      </c>
      <c r="AF11" s="1" t="s">
        <v>201</v>
      </c>
      <c r="AG11" s="1"/>
      <c r="AH11" s="1">
        <v>-0.85</v>
      </c>
      <c r="AI11" s="1">
        <v>0.26</v>
      </c>
      <c r="AJ11" s="1" t="s">
        <v>324</v>
      </c>
      <c r="AK11" s="3" t="s">
        <v>214</v>
      </c>
      <c r="AL11" s="3" t="s">
        <v>343</v>
      </c>
      <c r="AM11" s="3" t="s">
        <v>61</v>
      </c>
      <c r="AN11" s="3" t="s">
        <v>67</v>
      </c>
      <c r="AO11" s="3" t="s">
        <v>63</v>
      </c>
      <c r="AP11" s="3" t="s">
        <v>177</v>
      </c>
      <c r="AQ11" s="3" t="s">
        <v>42</v>
      </c>
      <c r="AR11" s="3" t="s">
        <v>218</v>
      </c>
      <c r="AS11" t="s">
        <v>215</v>
      </c>
      <c r="AT11" t="s">
        <v>110</v>
      </c>
      <c r="AU11" t="s">
        <v>216</v>
      </c>
      <c r="AV11">
        <v>83</v>
      </c>
      <c r="AW11" t="s">
        <v>95</v>
      </c>
      <c r="AX11" t="s">
        <v>38</v>
      </c>
      <c r="AY11" t="s">
        <v>462</v>
      </c>
      <c r="AZ11" t="s">
        <v>408</v>
      </c>
      <c r="BA11" t="s">
        <v>335</v>
      </c>
      <c r="BB11" t="s">
        <v>491</v>
      </c>
      <c r="BC11">
        <v>-0.28999999999999998</v>
      </c>
    </row>
    <row r="12" spans="1:55" x14ac:dyDescent="0.2">
      <c r="A12" t="s">
        <v>22</v>
      </c>
      <c r="B12">
        <v>5</v>
      </c>
      <c r="C12">
        <v>2003</v>
      </c>
      <c r="D12" t="s">
        <v>15</v>
      </c>
      <c r="E12" t="s">
        <v>25</v>
      </c>
      <c r="F12">
        <f>F9*0.889</f>
        <v>285.22676000000001</v>
      </c>
      <c r="G12">
        <f>G9*0.911</f>
        <v>269.80176</v>
      </c>
      <c r="H12">
        <v>3</v>
      </c>
      <c r="I12" t="s">
        <v>346</v>
      </c>
      <c r="J12" t="s">
        <v>182</v>
      </c>
      <c r="K12" t="s">
        <v>179</v>
      </c>
      <c r="L12" t="s">
        <v>180</v>
      </c>
      <c r="M12">
        <v>9.3040000000000003</v>
      </c>
      <c r="N12" s="2" t="s">
        <v>95</v>
      </c>
      <c r="O12" s="2" t="s">
        <v>95</v>
      </c>
      <c r="P12" s="2" t="s">
        <v>95</v>
      </c>
      <c r="Q12" s="2" t="s">
        <v>95</v>
      </c>
      <c r="R12">
        <v>1137</v>
      </c>
      <c r="S12" s="2" t="s">
        <v>395</v>
      </c>
      <c r="X12">
        <v>20</v>
      </c>
      <c r="Y12" t="s">
        <v>475</v>
      </c>
      <c r="Z12" t="s">
        <v>179</v>
      </c>
      <c r="AA12" s="2" t="s">
        <v>95</v>
      </c>
      <c r="AB12" s="2" t="s">
        <v>95</v>
      </c>
      <c r="AC12" s="2" t="s">
        <v>95</v>
      </c>
      <c r="AD12" s="2" t="s">
        <v>95</v>
      </c>
      <c r="AE12" s="1">
        <v>-0.16</v>
      </c>
      <c r="AF12" s="1" t="s">
        <v>202</v>
      </c>
      <c r="AG12" s="1"/>
      <c r="AH12" s="1">
        <v>-0.91</v>
      </c>
      <c r="AI12" s="1">
        <v>0.59</v>
      </c>
      <c r="AJ12" s="1" t="s">
        <v>324</v>
      </c>
      <c r="AK12" s="3" t="s">
        <v>214</v>
      </c>
      <c r="AL12" s="3" t="s">
        <v>343</v>
      </c>
      <c r="AM12" s="3" t="s">
        <v>61</v>
      </c>
      <c r="AN12" s="3" t="s">
        <v>67</v>
      </c>
      <c r="AO12" s="3" t="s">
        <v>181</v>
      </c>
      <c r="AP12" s="3" t="s">
        <v>177</v>
      </c>
      <c r="AQ12" s="3" t="s">
        <v>42</v>
      </c>
      <c r="AR12" s="3" t="s">
        <v>218</v>
      </c>
      <c r="AS12" t="s">
        <v>215</v>
      </c>
      <c r="AT12" t="s">
        <v>110</v>
      </c>
      <c r="AU12" t="s">
        <v>216</v>
      </c>
      <c r="AV12">
        <v>83</v>
      </c>
      <c r="AW12" t="s">
        <v>95</v>
      </c>
      <c r="AX12" t="s">
        <v>38</v>
      </c>
      <c r="AY12" t="s">
        <v>462</v>
      </c>
      <c r="AZ12" t="s">
        <v>408</v>
      </c>
      <c r="BA12" t="s">
        <v>190</v>
      </c>
      <c r="BB12" t="s">
        <v>492</v>
      </c>
      <c r="BC12">
        <v>-0.16</v>
      </c>
    </row>
    <row r="13" spans="1:55" x14ac:dyDescent="0.2">
      <c r="A13" t="s">
        <v>22</v>
      </c>
      <c r="B13">
        <v>5</v>
      </c>
      <c r="C13">
        <v>2003</v>
      </c>
      <c r="D13" t="s">
        <v>15</v>
      </c>
      <c r="E13" t="s">
        <v>25</v>
      </c>
      <c r="F13">
        <f>F10*0.889</f>
        <v>285.22676000000001</v>
      </c>
      <c r="G13">
        <f>G10*0.911</f>
        <v>269.80176</v>
      </c>
      <c r="H13">
        <v>6</v>
      </c>
      <c r="I13" t="s">
        <v>346</v>
      </c>
      <c r="J13" t="s">
        <v>182</v>
      </c>
      <c r="K13" t="s">
        <v>179</v>
      </c>
      <c r="L13" t="s">
        <v>180</v>
      </c>
      <c r="M13">
        <v>9.3040000000000003</v>
      </c>
      <c r="N13" s="2" t="s">
        <v>95</v>
      </c>
      <c r="O13" s="2" t="s">
        <v>95</v>
      </c>
      <c r="P13" s="2" t="s">
        <v>95</v>
      </c>
      <c r="Q13" s="2" t="s">
        <v>95</v>
      </c>
      <c r="R13">
        <v>1137</v>
      </c>
      <c r="S13" s="2" t="s">
        <v>395</v>
      </c>
      <c r="X13">
        <v>20</v>
      </c>
      <c r="Y13" t="s">
        <v>475</v>
      </c>
      <c r="Z13" t="s">
        <v>179</v>
      </c>
      <c r="AA13" s="2" t="s">
        <v>95</v>
      </c>
      <c r="AB13" s="2" t="s">
        <v>95</v>
      </c>
      <c r="AC13" s="2" t="s">
        <v>95</v>
      </c>
      <c r="AD13" s="2" t="s">
        <v>95</v>
      </c>
      <c r="AE13" s="1">
        <v>-0.51</v>
      </c>
      <c r="AF13" s="1" t="s">
        <v>203</v>
      </c>
      <c r="AG13" s="1"/>
      <c r="AH13" s="1">
        <v>-1.34</v>
      </c>
      <c r="AI13" s="1">
        <v>0.22</v>
      </c>
      <c r="AJ13" s="1" t="s">
        <v>324</v>
      </c>
      <c r="AK13" s="3" t="s">
        <v>214</v>
      </c>
      <c r="AL13" s="3" t="s">
        <v>343</v>
      </c>
      <c r="AM13" s="3" t="s">
        <v>61</v>
      </c>
      <c r="AN13" s="3" t="s">
        <v>67</v>
      </c>
      <c r="AO13" s="3" t="s">
        <v>63</v>
      </c>
      <c r="AP13" s="3" t="s">
        <v>177</v>
      </c>
      <c r="AQ13" s="3" t="s">
        <v>42</v>
      </c>
      <c r="AR13" s="3" t="s">
        <v>218</v>
      </c>
      <c r="AS13" t="s">
        <v>215</v>
      </c>
      <c r="AT13" t="s">
        <v>110</v>
      </c>
      <c r="AU13" t="s">
        <v>216</v>
      </c>
      <c r="AV13">
        <v>83</v>
      </c>
      <c r="AW13" t="s">
        <v>95</v>
      </c>
      <c r="AX13" t="s">
        <v>38</v>
      </c>
      <c r="AY13" t="s">
        <v>462</v>
      </c>
      <c r="AZ13" t="s">
        <v>408</v>
      </c>
      <c r="BA13" t="s">
        <v>336</v>
      </c>
      <c r="BB13" t="s">
        <v>493</v>
      </c>
      <c r="BC13">
        <v>-0.51</v>
      </c>
    </row>
    <row r="14" spans="1:55" x14ac:dyDescent="0.2">
      <c r="A14" t="s">
        <v>22</v>
      </c>
      <c r="B14">
        <v>5</v>
      </c>
      <c r="C14">
        <v>2003</v>
      </c>
      <c r="D14" t="s">
        <v>15</v>
      </c>
      <c r="E14" t="s">
        <v>25</v>
      </c>
      <c r="F14">
        <f>F11*0.889</f>
        <v>281.99079999999998</v>
      </c>
      <c r="G14">
        <f>G11*0.911</f>
        <v>266.74079999999998</v>
      </c>
      <c r="H14">
        <v>6</v>
      </c>
      <c r="I14" t="s">
        <v>346</v>
      </c>
      <c r="J14" t="s">
        <v>182</v>
      </c>
      <c r="K14" t="s">
        <v>179</v>
      </c>
      <c r="L14" t="s">
        <v>180</v>
      </c>
      <c r="M14">
        <v>9.3040000000000003</v>
      </c>
      <c r="N14" s="2" t="s">
        <v>95</v>
      </c>
      <c r="O14" s="2" t="s">
        <v>95</v>
      </c>
      <c r="P14" s="2" t="s">
        <v>95</v>
      </c>
      <c r="Q14" s="2" t="s">
        <v>95</v>
      </c>
      <c r="R14">
        <v>1137</v>
      </c>
      <c r="S14" s="2" t="s">
        <v>395</v>
      </c>
      <c r="X14">
        <v>20</v>
      </c>
      <c r="Y14" t="s">
        <v>475</v>
      </c>
      <c r="Z14" t="s">
        <v>179</v>
      </c>
      <c r="AA14" s="2" t="s">
        <v>95</v>
      </c>
      <c r="AB14" s="2" t="s">
        <v>95</v>
      </c>
      <c r="AC14" s="2" t="s">
        <v>95</v>
      </c>
      <c r="AD14" s="2" t="s">
        <v>95</v>
      </c>
      <c r="AE14" s="1">
        <v>-0.71</v>
      </c>
      <c r="AF14" s="1" t="s">
        <v>204</v>
      </c>
      <c r="AG14" s="1"/>
      <c r="AH14" s="1">
        <v>-0.14599999999999999</v>
      </c>
      <c r="AI14" s="1">
        <v>2.8000000000000001E-2</v>
      </c>
      <c r="AJ14" s="1" t="s">
        <v>324</v>
      </c>
      <c r="AK14" s="3" t="s">
        <v>214</v>
      </c>
      <c r="AL14" s="3" t="s">
        <v>343</v>
      </c>
      <c r="AM14" s="3" t="s">
        <v>61</v>
      </c>
      <c r="AN14" s="3" t="s">
        <v>67</v>
      </c>
      <c r="AO14" s="3" t="s">
        <v>63</v>
      </c>
      <c r="AP14" s="3" t="s">
        <v>177</v>
      </c>
      <c r="AQ14" s="3" t="s">
        <v>42</v>
      </c>
      <c r="AR14" s="3" t="s">
        <v>218</v>
      </c>
      <c r="AS14" t="s">
        <v>215</v>
      </c>
      <c r="AT14" t="s">
        <v>110</v>
      </c>
      <c r="AU14" t="s">
        <v>216</v>
      </c>
      <c r="AV14">
        <v>83</v>
      </c>
      <c r="AW14" t="s">
        <v>95</v>
      </c>
      <c r="AX14" t="s">
        <v>38</v>
      </c>
      <c r="AY14" t="s">
        <v>462</v>
      </c>
      <c r="AZ14" t="s">
        <v>408</v>
      </c>
      <c r="BA14" t="s">
        <v>337</v>
      </c>
      <c r="BB14" t="s">
        <v>494</v>
      </c>
      <c r="BC14">
        <v>-0.71</v>
      </c>
    </row>
    <row r="15" spans="1:55" x14ac:dyDescent="0.2">
      <c r="A15" t="s">
        <v>22</v>
      </c>
      <c r="B15">
        <v>5</v>
      </c>
      <c r="C15">
        <v>2003</v>
      </c>
      <c r="D15" t="s">
        <v>15</v>
      </c>
      <c r="E15" t="s">
        <v>25</v>
      </c>
      <c r="F15">
        <f t="shared" ref="F15:G17" si="0">F12*0.75</f>
        <v>213.92007000000001</v>
      </c>
      <c r="G15">
        <f t="shared" si="0"/>
        <v>202.35131999999999</v>
      </c>
      <c r="H15">
        <v>3</v>
      </c>
      <c r="I15" t="s">
        <v>346</v>
      </c>
      <c r="J15" t="s">
        <v>182</v>
      </c>
      <c r="K15" t="s">
        <v>179</v>
      </c>
      <c r="L15" t="s">
        <v>180</v>
      </c>
      <c r="M15">
        <v>9.3040000000000003</v>
      </c>
      <c r="N15" s="2" t="s">
        <v>95</v>
      </c>
      <c r="O15" s="2" t="s">
        <v>95</v>
      </c>
      <c r="P15" s="2" t="s">
        <v>95</v>
      </c>
      <c r="Q15" s="2" t="s">
        <v>95</v>
      </c>
      <c r="R15">
        <v>1137</v>
      </c>
      <c r="S15" s="2" t="s">
        <v>395</v>
      </c>
      <c r="X15">
        <v>20</v>
      </c>
      <c r="Y15" t="s">
        <v>475</v>
      </c>
      <c r="Z15" t="s">
        <v>179</v>
      </c>
      <c r="AA15" s="2" t="s">
        <v>95</v>
      </c>
      <c r="AB15" s="2" t="s">
        <v>95</v>
      </c>
      <c r="AC15" s="2" t="s">
        <v>95</v>
      </c>
      <c r="AD15" s="2" t="s">
        <v>95</v>
      </c>
      <c r="AE15" s="1">
        <v>-0.05</v>
      </c>
      <c r="AF15" s="1" t="s">
        <v>205</v>
      </c>
      <c r="AG15" s="1"/>
      <c r="AH15" s="1">
        <v>-0.93</v>
      </c>
      <c r="AI15" s="1">
        <v>0.84</v>
      </c>
      <c r="AJ15" s="1" t="s">
        <v>324</v>
      </c>
      <c r="AK15" s="3" t="s">
        <v>214</v>
      </c>
      <c r="AL15" s="3" t="s">
        <v>343</v>
      </c>
      <c r="AM15" s="3" t="s">
        <v>61</v>
      </c>
      <c r="AN15" s="3" t="s">
        <v>67</v>
      </c>
      <c r="AO15" s="3" t="s">
        <v>181</v>
      </c>
      <c r="AP15" s="3" t="s">
        <v>177</v>
      </c>
      <c r="AQ15" s="3" t="s">
        <v>42</v>
      </c>
      <c r="AR15" s="3" t="s">
        <v>218</v>
      </c>
      <c r="AS15" t="s">
        <v>215</v>
      </c>
      <c r="AT15" t="s">
        <v>110</v>
      </c>
      <c r="AU15" t="s">
        <v>216</v>
      </c>
      <c r="AV15">
        <v>83</v>
      </c>
      <c r="AW15" t="s">
        <v>95</v>
      </c>
      <c r="AX15" t="s">
        <v>38</v>
      </c>
      <c r="AY15" t="s">
        <v>462</v>
      </c>
      <c r="AZ15" t="s">
        <v>408</v>
      </c>
      <c r="BA15" t="s">
        <v>502</v>
      </c>
      <c r="BB15" t="s">
        <v>505</v>
      </c>
      <c r="BC15">
        <v>-0.05</v>
      </c>
    </row>
    <row r="16" spans="1:55" x14ac:dyDescent="0.2">
      <c r="A16" t="s">
        <v>22</v>
      </c>
      <c r="B16">
        <v>5</v>
      </c>
      <c r="C16">
        <v>2003</v>
      </c>
      <c r="D16" t="s">
        <v>15</v>
      </c>
      <c r="E16" t="s">
        <v>25</v>
      </c>
      <c r="F16">
        <f t="shared" si="0"/>
        <v>213.92007000000001</v>
      </c>
      <c r="G16">
        <f t="shared" si="0"/>
        <v>202.35131999999999</v>
      </c>
      <c r="H16">
        <v>6</v>
      </c>
      <c r="I16" t="s">
        <v>346</v>
      </c>
      <c r="J16" t="s">
        <v>182</v>
      </c>
      <c r="K16" t="s">
        <v>179</v>
      </c>
      <c r="L16" t="s">
        <v>180</v>
      </c>
      <c r="M16">
        <v>9.3040000000000003</v>
      </c>
      <c r="N16" s="2" t="s">
        <v>95</v>
      </c>
      <c r="O16" s="2" t="s">
        <v>95</v>
      </c>
      <c r="P16" s="2" t="s">
        <v>95</v>
      </c>
      <c r="Q16" s="2" t="s">
        <v>95</v>
      </c>
      <c r="R16">
        <v>1137</v>
      </c>
      <c r="S16" s="2" t="s">
        <v>395</v>
      </c>
      <c r="X16">
        <v>20</v>
      </c>
      <c r="Y16" t="s">
        <v>475</v>
      </c>
      <c r="Z16" t="s">
        <v>179</v>
      </c>
      <c r="AA16" s="2" t="s">
        <v>95</v>
      </c>
      <c r="AB16" s="2" t="s">
        <v>95</v>
      </c>
      <c r="AC16" s="2" t="s">
        <v>95</v>
      </c>
      <c r="AD16" s="2" t="s">
        <v>95</v>
      </c>
      <c r="AE16" s="1">
        <v>-0.9</v>
      </c>
      <c r="AF16" s="1" t="s">
        <v>206</v>
      </c>
      <c r="AG16" s="1"/>
      <c r="AH16" s="1">
        <v>-1.8</v>
      </c>
      <c r="AI16" s="1">
        <v>1E-3</v>
      </c>
      <c r="AJ16" s="1" t="s">
        <v>324</v>
      </c>
      <c r="AK16" s="3" t="s">
        <v>214</v>
      </c>
      <c r="AL16" s="3" t="s">
        <v>343</v>
      </c>
      <c r="AM16" s="3" t="s">
        <v>61</v>
      </c>
      <c r="AN16" s="3" t="s">
        <v>67</v>
      </c>
      <c r="AO16" s="3" t="s">
        <v>63</v>
      </c>
      <c r="AP16" s="3" t="s">
        <v>177</v>
      </c>
      <c r="AQ16" s="3" t="s">
        <v>42</v>
      </c>
      <c r="AR16" s="3" t="s">
        <v>218</v>
      </c>
      <c r="AS16" t="s">
        <v>215</v>
      </c>
      <c r="AT16" t="s">
        <v>110</v>
      </c>
      <c r="AU16" t="s">
        <v>216</v>
      </c>
      <c r="AV16">
        <v>83</v>
      </c>
      <c r="AW16" t="s">
        <v>95</v>
      </c>
      <c r="AX16" t="s">
        <v>38</v>
      </c>
      <c r="AY16" t="s">
        <v>462</v>
      </c>
      <c r="AZ16" t="s">
        <v>408</v>
      </c>
      <c r="BA16" t="s">
        <v>503</v>
      </c>
      <c r="BB16" t="s">
        <v>506</v>
      </c>
      <c r="BC16">
        <v>-0.9</v>
      </c>
    </row>
    <row r="17" spans="1:55" x14ac:dyDescent="0.2">
      <c r="A17" t="s">
        <v>22</v>
      </c>
      <c r="B17">
        <v>5</v>
      </c>
      <c r="C17">
        <v>2003</v>
      </c>
      <c r="D17" t="s">
        <v>15</v>
      </c>
      <c r="E17" t="s">
        <v>25</v>
      </c>
      <c r="F17">
        <f t="shared" si="0"/>
        <v>211.49309999999997</v>
      </c>
      <c r="G17">
        <f t="shared" si="0"/>
        <v>200.05559999999997</v>
      </c>
      <c r="H17">
        <v>6</v>
      </c>
      <c r="I17" t="s">
        <v>346</v>
      </c>
      <c r="J17" t="s">
        <v>182</v>
      </c>
      <c r="K17" t="s">
        <v>179</v>
      </c>
      <c r="L17" t="s">
        <v>180</v>
      </c>
      <c r="M17">
        <v>9.3040000000000003</v>
      </c>
      <c r="N17" s="2" t="s">
        <v>95</v>
      </c>
      <c r="O17" s="2" t="s">
        <v>95</v>
      </c>
      <c r="P17" s="2" t="s">
        <v>95</v>
      </c>
      <c r="Q17" s="2" t="s">
        <v>95</v>
      </c>
      <c r="R17">
        <v>1137</v>
      </c>
      <c r="S17" s="2" t="s">
        <v>395</v>
      </c>
      <c r="X17">
        <v>20</v>
      </c>
      <c r="Y17" t="s">
        <v>475</v>
      </c>
      <c r="Z17" t="s">
        <v>179</v>
      </c>
      <c r="AA17" s="2" t="s">
        <v>95</v>
      </c>
      <c r="AB17" s="2" t="s">
        <v>95</v>
      </c>
      <c r="AC17" s="2" t="s">
        <v>95</v>
      </c>
      <c r="AD17" s="2" t="s">
        <v>95</v>
      </c>
      <c r="AE17" s="1">
        <v>-1.1599999999999999</v>
      </c>
      <c r="AF17" s="1" t="s">
        <v>207</v>
      </c>
      <c r="AG17" s="1"/>
      <c r="AH17" s="1">
        <v>-2.08</v>
      </c>
      <c r="AI17" s="1">
        <v>-0.23</v>
      </c>
      <c r="AJ17" s="1" t="s">
        <v>324</v>
      </c>
      <c r="AK17" s="3" t="s">
        <v>214</v>
      </c>
      <c r="AL17" s="3" t="s">
        <v>343</v>
      </c>
      <c r="AM17" s="3" t="s">
        <v>61</v>
      </c>
      <c r="AN17" s="3" t="s">
        <v>67</v>
      </c>
      <c r="AO17" s="3" t="s">
        <v>63</v>
      </c>
      <c r="AP17" s="3" t="s">
        <v>177</v>
      </c>
      <c r="AQ17" s="3" t="s">
        <v>42</v>
      </c>
      <c r="AR17" s="3" t="s">
        <v>218</v>
      </c>
      <c r="AS17" t="s">
        <v>215</v>
      </c>
      <c r="AT17" t="s">
        <v>110</v>
      </c>
      <c r="AU17" t="s">
        <v>216</v>
      </c>
      <c r="AV17">
        <v>83</v>
      </c>
      <c r="AW17" t="s">
        <v>95</v>
      </c>
      <c r="AX17" t="s">
        <v>38</v>
      </c>
      <c r="AY17" t="s">
        <v>462</v>
      </c>
      <c r="AZ17" t="s">
        <v>408</v>
      </c>
      <c r="BA17" t="s">
        <v>504</v>
      </c>
      <c r="BB17" t="s">
        <v>507</v>
      </c>
      <c r="BC17">
        <v>-1.1599999999999999</v>
      </c>
    </row>
    <row r="18" spans="1:55" x14ac:dyDescent="0.2">
      <c r="A18" t="s">
        <v>22</v>
      </c>
      <c r="B18">
        <v>5</v>
      </c>
      <c r="C18">
        <v>2003</v>
      </c>
      <c r="D18" t="s">
        <v>15</v>
      </c>
      <c r="E18" t="s">
        <v>25</v>
      </c>
      <c r="F18" t="s">
        <v>95</v>
      </c>
      <c r="G18" t="s">
        <v>95</v>
      </c>
      <c r="H18">
        <v>3</v>
      </c>
      <c r="I18" t="s">
        <v>346</v>
      </c>
      <c r="J18" t="s">
        <v>182</v>
      </c>
      <c r="K18" t="s">
        <v>179</v>
      </c>
      <c r="L18" t="s">
        <v>180</v>
      </c>
      <c r="M18">
        <v>9.3040000000000003</v>
      </c>
      <c r="N18" s="2" t="s">
        <v>95</v>
      </c>
      <c r="O18" s="2" t="s">
        <v>95</v>
      </c>
      <c r="P18" s="2" t="s">
        <v>95</v>
      </c>
      <c r="Q18" s="2" t="s">
        <v>95</v>
      </c>
      <c r="R18">
        <v>1137</v>
      </c>
      <c r="S18" s="2" t="s">
        <v>395</v>
      </c>
      <c r="X18">
        <v>20</v>
      </c>
      <c r="Y18" t="s">
        <v>475</v>
      </c>
      <c r="Z18" t="s">
        <v>179</v>
      </c>
      <c r="AA18" s="2" t="s">
        <v>95</v>
      </c>
      <c r="AB18" s="2" t="s">
        <v>95</v>
      </c>
      <c r="AC18" s="2" t="s">
        <v>95</v>
      </c>
      <c r="AD18" s="2" t="s">
        <v>95</v>
      </c>
      <c r="AE18" s="1">
        <v>-0.19</v>
      </c>
      <c r="AF18" s="1" t="s">
        <v>208</v>
      </c>
      <c r="AG18" s="1"/>
      <c r="AH18" s="1">
        <v>-1.1200000000000001</v>
      </c>
      <c r="AI18" s="1">
        <v>0.74</v>
      </c>
      <c r="AJ18" s="1" t="s">
        <v>324</v>
      </c>
      <c r="AK18" s="3" t="s">
        <v>214</v>
      </c>
      <c r="AL18" s="3" t="s">
        <v>343</v>
      </c>
      <c r="AM18" s="3" t="s">
        <v>61</v>
      </c>
      <c r="AN18" s="3" t="s">
        <v>67</v>
      </c>
      <c r="AO18" s="3" t="s">
        <v>181</v>
      </c>
      <c r="AP18" s="3" t="s">
        <v>177</v>
      </c>
      <c r="AQ18" s="3" t="s">
        <v>42</v>
      </c>
      <c r="AR18" s="3" t="s">
        <v>218</v>
      </c>
      <c r="AS18" t="s">
        <v>215</v>
      </c>
      <c r="AT18" t="s">
        <v>110</v>
      </c>
      <c r="AU18" t="s">
        <v>216</v>
      </c>
      <c r="AV18">
        <v>83</v>
      </c>
      <c r="AW18" t="s">
        <v>95</v>
      </c>
      <c r="AX18" t="s">
        <v>38</v>
      </c>
      <c r="AY18" t="s">
        <v>462</v>
      </c>
      <c r="AZ18" t="s">
        <v>408</v>
      </c>
      <c r="BA18" t="s">
        <v>193</v>
      </c>
      <c r="BB18" t="s">
        <v>495</v>
      </c>
      <c r="BC18">
        <v>-0.19</v>
      </c>
    </row>
    <row r="19" spans="1:55" x14ac:dyDescent="0.2">
      <c r="A19" t="s">
        <v>22</v>
      </c>
      <c r="B19">
        <v>5</v>
      </c>
      <c r="C19">
        <v>2003</v>
      </c>
      <c r="D19" t="s">
        <v>15</v>
      </c>
      <c r="E19" t="s">
        <v>25</v>
      </c>
      <c r="F19" t="s">
        <v>95</v>
      </c>
      <c r="G19" t="s">
        <v>95</v>
      </c>
      <c r="H19">
        <v>6</v>
      </c>
      <c r="I19" t="s">
        <v>346</v>
      </c>
      <c r="J19" t="s">
        <v>182</v>
      </c>
      <c r="K19" t="s">
        <v>179</v>
      </c>
      <c r="L19" t="s">
        <v>180</v>
      </c>
      <c r="M19">
        <v>9.3040000000000003</v>
      </c>
      <c r="N19" s="2" t="s">
        <v>95</v>
      </c>
      <c r="O19" s="2" t="s">
        <v>95</v>
      </c>
      <c r="P19" s="2" t="s">
        <v>95</v>
      </c>
      <c r="Q19" s="2" t="s">
        <v>95</v>
      </c>
      <c r="R19">
        <v>1137</v>
      </c>
      <c r="S19" s="2" t="s">
        <v>395</v>
      </c>
      <c r="X19">
        <v>20</v>
      </c>
      <c r="Y19" t="s">
        <v>475</v>
      </c>
      <c r="Z19" t="s">
        <v>179</v>
      </c>
      <c r="AA19" s="2" t="s">
        <v>95</v>
      </c>
      <c r="AB19" s="2" t="s">
        <v>95</v>
      </c>
      <c r="AC19" s="2" t="s">
        <v>95</v>
      </c>
      <c r="AD19" s="2" t="s">
        <v>95</v>
      </c>
      <c r="AE19" s="1">
        <v>-1.18</v>
      </c>
      <c r="AF19" s="1" t="s">
        <v>209</v>
      </c>
      <c r="AG19" s="1"/>
      <c r="AH19" s="1">
        <v>-2.17</v>
      </c>
      <c r="AI19" s="1">
        <v>-0.2</v>
      </c>
      <c r="AJ19" s="1" t="s">
        <v>324</v>
      </c>
      <c r="AK19" s="3" t="s">
        <v>214</v>
      </c>
      <c r="AL19" s="3" t="s">
        <v>343</v>
      </c>
      <c r="AM19" s="3" t="s">
        <v>61</v>
      </c>
      <c r="AN19" s="3" t="s">
        <v>67</v>
      </c>
      <c r="AO19" s="3" t="s">
        <v>63</v>
      </c>
      <c r="AP19" s="3" t="s">
        <v>177</v>
      </c>
      <c r="AQ19" s="3" t="s">
        <v>42</v>
      </c>
      <c r="AR19" s="3" t="s">
        <v>218</v>
      </c>
      <c r="AS19" t="s">
        <v>215</v>
      </c>
      <c r="AT19" t="s">
        <v>110</v>
      </c>
      <c r="AU19" t="s">
        <v>216</v>
      </c>
      <c r="AV19">
        <v>83</v>
      </c>
      <c r="AW19" t="s">
        <v>95</v>
      </c>
      <c r="AX19" t="s">
        <v>38</v>
      </c>
      <c r="AY19" t="s">
        <v>462</v>
      </c>
      <c r="AZ19" t="s">
        <v>408</v>
      </c>
      <c r="BA19" t="s">
        <v>338</v>
      </c>
      <c r="BB19" t="s">
        <v>496</v>
      </c>
      <c r="BC19">
        <v>-1.18</v>
      </c>
    </row>
    <row r="20" spans="1:55" x14ac:dyDescent="0.2">
      <c r="A20" t="s">
        <v>22</v>
      </c>
      <c r="B20">
        <v>5</v>
      </c>
      <c r="C20">
        <v>2003</v>
      </c>
      <c r="D20" t="s">
        <v>15</v>
      </c>
      <c r="E20" t="s">
        <v>25</v>
      </c>
      <c r="F20" t="s">
        <v>95</v>
      </c>
      <c r="G20" t="s">
        <v>95</v>
      </c>
      <c r="H20">
        <v>6</v>
      </c>
      <c r="I20" t="s">
        <v>346</v>
      </c>
      <c r="J20" t="s">
        <v>182</v>
      </c>
      <c r="K20" t="s">
        <v>179</v>
      </c>
      <c r="L20" t="s">
        <v>180</v>
      </c>
      <c r="M20">
        <v>9.3040000000000003</v>
      </c>
      <c r="N20" s="2" t="s">
        <v>95</v>
      </c>
      <c r="O20" s="2" t="s">
        <v>95</v>
      </c>
      <c r="P20" s="2" t="s">
        <v>95</v>
      </c>
      <c r="Q20" s="2" t="s">
        <v>95</v>
      </c>
      <c r="R20">
        <v>1137</v>
      </c>
      <c r="S20" s="2" t="s">
        <v>395</v>
      </c>
      <c r="X20">
        <v>20</v>
      </c>
      <c r="Y20" t="s">
        <v>475</v>
      </c>
      <c r="Z20" t="s">
        <v>179</v>
      </c>
      <c r="AA20" s="2" t="s">
        <v>95</v>
      </c>
      <c r="AB20" s="2" t="s">
        <v>95</v>
      </c>
      <c r="AC20" s="2" t="s">
        <v>95</v>
      </c>
      <c r="AD20" s="2" t="s">
        <v>95</v>
      </c>
      <c r="AE20" s="1">
        <v>-1.46</v>
      </c>
      <c r="AF20" s="1" t="s">
        <v>210</v>
      </c>
      <c r="AG20" s="1"/>
      <c r="AH20" s="1">
        <v>-2.48</v>
      </c>
      <c r="AI20" s="1">
        <v>-0.45</v>
      </c>
      <c r="AJ20" s="1" t="s">
        <v>324</v>
      </c>
      <c r="AK20" s="3" t="s">
        <v>214</v>
      </c>
      <c r="AL20" s="3" t="s">
        <v>343</v>
      </c>
      <c r="AM20" s="3" t="s">
        <v>61</v>
      </c>
      <c r="AN20" s="3" t="s">
        <v>67</v>
      </c>
      <c r="AO20" s="3" t="s">
        <v>63</v>
      </c>
      <c r="AP20" s="3" t="s">
        <v>177</v>
      </c>
      <c r="AQ20" s="3" t="s">
        <v>42</v>
      </c>
      <c r="AR20" s="3" t="s">
        <v>218</v>
      </c>
      <c r="AS20" t="s">
        <v>215</v>
      </c>
      <c r="AT20" t="s">
        <v>110</v>
      </c>
      <c r="AU20" t="s">
        <v>216</v>
      </c>
      <c r="AV20">
        <v>83</v>
      </c>
      <c r="AW20" t="s">
        <v>95</v>
      </c>
      <c r="AX20" t="s">
        <v>38</v>
      </c>
      <c r="AY20" t="s">
        <v>462</v>
      </c>
      <c r="AZ20" t="s">
        <v>408</v>
      </c>
      <c r="BA20" t="s">
        <v>339</v>
      </c>
      <c r="BB20" t="s">
        <v>497</v>
      </c>
      <c r="BC20">
        <v>-1.46</v>
      </c>
    </row>
    <row r="21" spans="1:55" x14ac:dyDescent="0.2">
      <c r="A21" t="s">
        <v>22</v>
      </c>
      <c r="B21">
        <v>5</v>
      </c>
      <c r="C21">
        <v>2003</v>
      </c>
      <c r="D21" t="s">
        <v>15</v>
      </c>
      <c r="E21" t="s">
        <v>25</v>
      </c>
      <c r="F21" t="s">
        <v>95</v>
      </c>
      <c r="G21" t="s">
        <v>95</v>
      </c>
      <c r="H21">
        <v>3</v>
      </c>
      <c r="I21" t="s">
        <v>346</v>
      </c>
      <c r="J21" t="s">
        <v>182</v>
      </c>
      <c r="K21" t="s">
        <v>179</v>
      </c>
      <c r="L21" t="s">
        <v>180</v>
      </c>
      <c r="M21">
        <v>9.3040000000000003</v>
      </c>
      <c r="N21" s="2" t="s">
        <v>95</v>
      </c>
      <c r="O21" s="2" t="s">
        <v>95</v>
      </c>
      <c r="P21" s="2" t="s">
        <v>95</v>
      </c>
      <c r="Q21" s="2" t="s">
        <v>95</v>
      </c>
      <c r="R21">
        <v>1137</v>
      </c>
      <c r="S21" s="2" t="s">
        <v>395</v>
      </c>
      <c r="X21">
        <v>20</v>
      </c>
      <c r="Y21" t="s">
        <v>475</v>
      </c>
      <c r="Z21" t="s">
        <v>179</v>
      </c>
      <c r="AA21" s="2" t="s">
        <v>95</v>
      </c>
      <c r="AB21" s="2" t="s">
        <v>95</v>
      </c>
      <c r="AC21" s="2" t="s">
        <v>95</v>
      </c>
      <c r="AD21" s="2" t="s">
        <v>95</v>
      </c>
      <c r="AE21" s="1">
        <v>-0.22</v>
      </c>
      <c r="AF21" s="1" t="s">
        <v>211</v>
      </c>
      <c r="AG21" s="1"/>
      <c r="AH21" s="1">
        <v>-1.26</v>
      </c>
      <c r="AI21" s="1">
        <v>0.82</v>
      </c>
      <c r="AJ21" s="1" t="s">
        <v>324</v>
      </c>
      <c r="AK21" s="3" t="s">
        <v>214</v>
      </c>
      <c r="AL21" s="3" t="s">
        <v>343</v>
      </c>
      <c r="AM21" s="3" t="s">
        <v>61</v>
      </c>
      <c r="AN21" s="3" t="s">
        <v>67</v>
      </c>
      <c r="AO21" s="3" t="s">
        <v>181</v>
      </c>
      <c r="AP21" s="3" t="s">
        <v>177</v>
      </c>
      <c r="AQ21" s="3" t="s">
        <v>42</v>
      </c>
      <c r="AR21" s="3" t="s">
        <v>218</v>
      </c>
      <c r="AS21" t="s">
        <v>215</v>
      </c>
      <c r="AT21" t="s">
        <v>110</v>
      </c>
      <c r="AU21" t="s">
        <v>216</v>
      </c>
      <c r="AV21">
        <v>83</v>
      </c>
      <c r="AW21" t="s">
        <v>95</v>
      </c>
      <c r="AX21" t="s">
        <v>38</v>
      </c>
      <c r="AY21" t="s">
        <v>462</v>
      </c>
      <c r="AZ21" t="s">
        <v>408</v>
      </c>
      <c r="BA21" t="s">
        <v>196</v>
      </c>
      <c r="BB21" t="s">
        <v>498</v>
      </c>
      <c r="BC21">
        <v>-0.22</v>
      </c>
    </row>
    <row r="22" spans="1:55" x14ac:dyDescent="0.2">
      <c r="A22" t="s">
        <v>22</v>
      </c>
      <c r="B22">
        <v>5</v>
      </c>
      <c r="C22">
        <v>2003</v>
      </c>
      <c r="D22" t="s">
        <v>15</v>
      </c>
      <c r="E22" t="s">
        <v>25</v>
      </c>
      <c r="F22" t="s">
        <v>95</v>
      </c>
      <c r="G22" t="s">
        <v>95</v>
      </c>
      <c r="H22">
        <v>6</v>
      </c>
      <c r="I22" t="s">
        <v>346</v>
      </c>
      <c r="J22" t="s">
        <v>182</v>
      </c>
      <c r="K22" t="s">
        <v>179</v>
      </c>
      <c r="L22" t="s">
        <v>180</v>
      </c>
      <c r="M22">
        <v>9.3040000000000003</v>
      </c>
      <c r="N22" s="2" t="s">
        <v>95</v>
      </c>
      <c r="O22" s="2" t="s">
        <v>95</v>
      </c>
      <c r="P22" s="2" t="s">
        <v>95</v>
      </c>
      <c r="Q22" s="2" t="s">
        <v>95</v>
      </c>
      <c r="R22">
        <v>1137</v>
      </c>
      <c r="S22" s="2" t="s">
        <v>395</v>
      </c>
      <c r="X22">
        <v>20</v>
      </c>
      <c r="Y22" t="s">
        <v>475</v>
      </c>
      <c r="Z22" t="s">
        <v>179</v>
      </c>
      <c r="AA22" s="2" t="s">
        <v>95</v>
      </c>
      <c r="AB22" s="2" t="s">
        <v>95</v>
      </c>
      <c r="AC22" s="2" t="s">
        <v>95</v>
      </c>
      <c r="AD22" s="2" t="s">
        <v>95</v>
      </c>
      <c r="AE22" s="1">
        <v>-1.53</v>
      </c>
      <c r="AF22" s="1" t="s">
        <v>212</v>
      </c>
      <c r="AG22" s="1"/>
      <c r="AH22" s="1">
        <v>-2.65</v>
      </c>
      <c r="AI22" s="1">
        <v>-0.42</v>
      </c>
      <c r="AJ22" s="1" t="s">
        <v>324</v>
      </c>
      <c r="AK22" s="3" t="s">
        <v>214</v>
      </c>
      <c r="AL22" s="3" t="s">
        <v>343</v>
      </c>
      <c r="AM22" s="3" t="s">
        <v>61</v>
      </c>
      <c r="AN22" s="3" t="s">
        <v>67</v>
      </c>
      <c r="AO22" s="3" t="s">
        <v>63</v>
      </c>
      <c r="AP22" s="3" t="s">
        <v>177</v>
      </c>
      <c r="AQ22" s="3" t="s">
        <v>42</v>
      </c>
      <c r="AR22" s="3" t="s">
        <v>218</v>
      </c>
      <c r="AS22" t="s">
        <v>215</v>
      </c>
      <c r="AT22" t="s">
        <v>110</v>
      </c>
      <c r="AU22" t="s">
        <v>216</v>
      </c>
      <c r="AV22">
        <v>83</v>
      </c>
      <c r="AW22" t="s">
        <v>95</v>
      </c>
      <c r="AX22" t="s">
        <v>38</v>
      </c>
      <c r="AY22" t="s">
        <v>462</v>
      </c>
      <c r="AZ22" t="s">
        <v>408</v>
      </c>
      <c r="BA22" t="s">
        <v>340</v>
      </c>
      <c r="BB22" t="s">
        <v>499</v>
      </c>
      <c r="BC22">
        <v>-1.53</v>
      </c>
    </row>
    <row r="23" spans="1:55" x14ac:dyDescent="0.2">
      <c r="A23" t="s">
        <v>22</v>
      </c>
      <c r="B23">
        <v>5</v>
      </c>
      <c r="C23">
        <v>2003</v>
      </c>
      <c r="D23" t="s">
        <v>15</v>
      </c>
      <c r="E23" t="s">
        <v>25</v>
      </c>
      <c r="F23" t="s">
        <v>95</v>
      </c>
      <c r="G23" t="s">
        <v>95</v>
      </c>
      <c r="H23">
        <v>6</v>
      </c>
      <c r="I23" t="s">
        <v>346</v>
      </c>
      <c r="J23" t="s">
        <v>182</v>
      </c>
      <c r="K23" t="s">
        <v>179</v>
      </c>
      <c r="L23" t="s">
        <v>180</v>
      </c>
      <c r="M23">
        <v>9.3040000000000003</v>
      </c>
      <c r="N23" s="2" t="s">
        <v>95</v>
      </c>
      <c r="O23" s="2" t="s">
        <v>95</v>
      </c>
      <c r="P23" s="2" t="s">
        <v>95</v>
      </c>
      <c r="Q23" s="2" t="s">
        <v>95</v>
      </c>
      <c r="R23">
        <v>1137</v>
      </c>
      <c r="S23" s="2" t="s">
        <v>395</v>
      </c>
      <c r="X23">
        <v>20</v>
      </c>
      <c r="Y23" t="s">
        <v>475</v>
      </c>
      <c r="Z23" t="s">
        <v>179</v>
      </c>
      <c r="AA23" s="2" t="s">
        <v>95</v>
      </c>
      <c r="AB23" s="2" t="s">
        <v>95</v>
      </c>
      <c r="AC23" s="2" t="s">
        <v>95</v>
      </c>
      <c r="AD23" s="2" t="s">
        <v>95</v>
      </c>
      <c r="AE23" s="1">
        <v>-0.186</v>
      </c>
      <c r="AF23" s="1" t="s">
        <v>213</v>
      </c>
      <c r="AG23" s="1"/>
      <c r="AH23" s="1">
        <v>-3.01</v>
      </c>
      <c r="AI23" s="1">
        <v>-0.71</v>
      </c>
      <c r="AJ23" s="1" t="s">
        <v>324</v>
      </c>
      <c r="AK23" s="3" t="s">
        <v>214</v>
      </c>
      <c r="AL23" s="3" t="s">
        <v>343</v>
      </c>
      <c r="AM23" s="3" t="s">
        <v>61</v>
      </c>
      <c r="AN23" s="3" t="s">
        <v>67</v>
      </c>
      <c r="AO23" s="3" t="s">
        <v>63</v>
      </c>
      <c r="AP23" s="3" t="s">
        <v>177</v>
      </c>
      <c r="AQ23" s="3" t="s">
        <v>42</v>
      </c>
      <c r="AR23" s="3" t="s">
        <v>218</v>
      </c>
      <c r="AS23" t="s">
        <v>215</v>
      </c>
      <c r="AT23" t="s">
        <v>110</v>
      </c>
      <c r="AU23" t="s">
        <v>216</v>
      </c>
      <c r="AV23">
        <v>83</v>
      </c>
      <c r="AW23" t="s">
        <v>95</v>
      </c>
      <c r="AX23" t="s">
        <v>38</v>
      </c>
      <c r="AY23" t="s">
        <v>462</v>
      </c>
      <c r="AZ23" t="s">
        <v>408</v>
      </c>
      <c r="BA23" t="s">
        <v>341</v>
      </c>
      <c r="BB23" t="s">
        <v>500</v>
      </c>
      <c r="BC23">
        <v>-0.186</v>
      </c>
    </row>
    <row r="24" spans="1:55" x14ac:dyDescent="0.2">
      <c r="A24" t="s">
        <v>23</v>
      </c>
      <c r="B24">
        <v>6</v>
      </c>
      <c r="C24">
        <v>2009</v>
      </c>
      <c r="D24" t="s">
        <v>15</v>
      </c>
      <c r="E24" t="s">
        <v>25</v>
      </c>
      <c r="F24">
        <v>274</v>
      </c>
      <c r="G24">
        <v>283</v>
      </c>
      <c r="H24">
        <v>6</v>
      </c>
      <c r="I24" t="s">
        <v>346</v>
      </c>
      <c r="J24" t="s">
        <v>35</v>
      </c>
      <c r="K24" t="s">
        <v>38</v>
      </c>
      <c r="L24" t="s">
        <v>180</v>
      </c>
      <c r="M24">
        <v>5.0229999999999997</v>
      </c>
      <c r="N24" s="2">
        <v>4.8319999999999999</v>
      </c>
      <c r="O24" s="2">
        <v>3.7949999999999999</v>
      </c>
      <c r="P24" s="2">
        <v>5.2130000000000001</v>
      </c>
      <c r="Q24" s="2">
        <v>4.0941999999999998</v>
      </c>
      <c r="R24">
        <v>900</v>
      </c>
      <c r="S24" s="2" t="s">
        <v>396</v>
      </c>
      <c r="X24">
        <v>30</v>
      </c>
      <c r="Y24" t="s">
        <v>475</v>
      </c>
      <c r="Z24" t="s">
        <v>38</v>
      </c>
      <c r="AA24" s="2">
        <v>3.8</v>
      </c>
      <c r="AB24" s="2">
        <v>2</v>
      </c>
      <c r="AC24" s="2">
        <v>4.5</v>
      </c>
      <c r="AD24" s="2">
        <v>1.9</v>
      </c>
      <c r="AE24" s="1">
        <v>-0.55500000000000005</v>
      </c>
      <c r="AF24" s="1">
        <v>0.18</v>
      </c>
      <c r="AG24" s="1">
        <v>2.0999999999999999E-3</v>
      </c>
      <c r="AH24" s="1">
        <v>-0.89400000000000002</v>
      </c>
      <c r="AI24" s="1">
        <v>-0.187</v>
      </c>
      <c r="AJ24" s="1" t="s">
        <v>570</v>
      </c>
      <c r="AK24" s="3" t="s">
        <v>214</v>
      </c>
      <c r="AL24" s="3" t="s">
        <v>343</v>
      </c>
      <c r="AM24" s="3" t="s">
        <v>219</v>
      </c>
      <c r="AN24" s="3" t="s">
        <v>67</v>
      </c>
      <c r="AO24" s="3" t="s">
        <v>64</v>
      </c>
      <c r="AP24" s="3" t="s">
        <v>53</v>
      </c>
      <c r="AQ24" s="3" t="s">
        <v>42</v>
      </c>
      <c r="AR24" s="3" t="s">
        <v>217</v>
      </c>
      <c r="AS24" t="s">
        <v>267</v>
      </c>
      <c r="AT24" t="s">
        <v>110</v>
      </c>
      <c r="AU24" t="s">
        <v>269</v>
      </c>
      <c r="AV24">
        <v>74</v>
      </c>
      <c r="AW24" t="s">
        <v>270</v>
      </c>
      <c r="AX24" t="s">
        <v>38</v>
      </c>
      <c r="AY24" t="s">
        <v>463</v>
      </c>
      <c r="AZ24" t="s">
        <v>569</v>
      </c>
      <c r="BA24" t="s">
        <v>223</v>
      </c>
      <c r="BB24" t="s">
        <v>508</v>
      </c>
      <c r="BC24">
        <v>-0.40000000000000036</v>
      </c>
    </row>
    <row r="25" spans="1:55" x14ac:dyDescent="0.2">
      <c r="A25" t="s">
        <v>23</v>
      </c>
      <c r="B25">
        <v>6</v>
      </c>
      <c r="C25">
        <v>2009</v>
      </c>
      <c r="D25" t="s">
        <v>15</v>
      </c>
      <c r="E25" t="s">
        <v>25</v>
      </c>
      <c r="F25">
        <f>557*274/557</f>
        <v>274</v>
      </c>
      <c r="G25">
        <v>283</v>
      </c>
      <c r="H25">
        <v>4.5</v>
      </c>
      <c r="I25" t="s">
        <v>346</v>
      </c>
      <c r="J25" t="s">
        <v>35</v>
      </c>
      <c r="K25" t="s">
        <v>38</v>
      </c>
      <c r="L25" t="s">
        <v>180</v>
      </c>
      <c r="M25">
        <v>3.9475763016157983</v>
      </c>
      <c r="N25" s="2" t="s">
        <v>95</v>
      </c>
      <c r="O25" s="2" t="s">
        <v>95</v>
      </c>
      <c r="P25" s="2" t="s">
        <v>95</v>
      </c>
      <c r="Q25" s="2" t="s">
        <v>95</v>
      </c>
      <c r="R25">
        <v>900</v>
      </c>
      <c r="S25" s="2" t="s">
        <v>396</v>
      </c>
      <c r="X25">
        <v>30</v>
      </c>
      <c r="Y25" t="s">
        <v>475</v>
      </c>
      <c r="Z25" t="s">
        <v>38</v>
      </c>
      <c r="AA25" s="2" t="s">
        <v>95</v>
      </c>
      <c r="AB25" s="2" t="s">
        <v>95</v>
      </c>
      <c r="AC25" s="2" t="s">
        <v>95</v>
      </c>
      <c r="AD25" s="2" t="s">
        <v>95</v>
      </c>
      <c r="AE25" s="1" t="s">
        <v>256</v>
      </c>
      <c r="AF25" s="1" t="s">
        <v>259</v>
      </c>
      <c r="AG25" s="1">
        <v>4.0000000000000001E-3</v>
      </c>
      <c r="AH25" s="1"/>
      <c r="AI25" s="1"/>
      <c r="AJ25" s="1" t="s">
        <v>466</v>
      </c>
      <c r="AK25" s="3" t="s">
        <v>214</v>
      </c>
      <c r="AL25" s="3" t="s">
        <v>343</v>
      </c>
      <c r="AM25" s="3" t="s">
        <v>61</v>
      </c>
      <c r="AN25" s="3" t="s">
        <v>67</v>
      </c>
      <c r="AO25" s="3" t="s">
        <v>220</v>
      </c>
      <c r="AP25" s="3" t="s">
        <v>53</v>
      </c>
      <c r="AQ25" s="3" t="s">
        <v>42</v>
      </c>
      <c r="AR25" s="3" t="s">
        <v>217</v>
      </c>
      <c r="AS25" t="s">
        <v>268</v>
      </c>
      <c r="AT25" t="s">
        <v>110</v>
      </c>
      <c r="AU25" t="s">
        <v>269</v>
      </c>
      <c r="AV25">
        <v>74</v>
      </c>
      <c r="AW25" t="s">
        <v>270</v>
      </c>
      <c r="AX25" t="s">
        <v>38</v>
      </c>
      <c r="AY25" t="s">
        <v>463</v>
      </c>
      <c r="AZ25" t="s">
        <v>568</v>
      </c>
      <c r="BA25" t="s">
        <v>224</v>
      </c>
      <c r="BB25" t="s">
        <v>515</v>
      </c>
      <c r="BC25" t="s">
        <v>256</v>
      </c>
    </row>
    <row r="26" spans="1:55" x14ac:dyDescent="0.2">
      <c r="A26" t="s">
        <v>23</v>
      </c>
      <c r="B26">
        <v>6</v>
      </c>
      <c r="C26">
        <v>2009</v>
      </c>
      <c r="D26" t="s">
        <v>15</v>
      </c>
      <c r="E26" t="s">
        <v>25</v>
      </c>
      <c r="F26">
        <f t="shared" ref="F26:F27" si="1">557*274/557</f>
        <v>274</v>
      </c>
      <c r="G26">
        <v>283</v>
      </c>
      <c r="H26">
        <v>3</v>
      </c>
      <c r="I26" t="s">
        <v>346</v>
      </c>
      <c r="J26" t="s">
        <v>35</v>
      </c>
      <c r="K26" t="s">
        <v>38</v>
      </c>
      <c r="L26" t="s">
        <v>180</v>
      </c>
      <c r="M26">
        <v>5.0229999999999997</v>
      </c>
      <c r="N26" s="2">
        <v>4.8319999999999999</v>
      </c>
      <c r="O26" s="2">
        <v>3.7949999999999999</v>
      </c>
      <c r="P26" s="2">
        <v>5.2130000000000001</v>
      </c>
      <c r="Q26" s="2">
        <v>4.0940000000000003</v>
      </c>
      <c r="R26">
        <v>900</v>
      </c>
      <c r="S26" s="2" t="s">
        <v>396</v>
      </c>
      <c r="X26">
        <v>30</v>
      </c>
      <c r="Y26" t="s">
        <v>475</v>
      </c>
      <c r="Z26" t="s">
        <v>38</v>
      </c>
      <c r="AA26" s="2">
        <v>3.8</v>
      </c>
      <c r="AB26" s="2">
        <v>2</v>
      </c>
      <c r="AC26" s="2">
        <v>4.5</v>
      </c>
      <c r="AD26" s="2">
        <v>1.9</v>
      </c>
      <c r="AE26" s="1" t="s">
        <v>250</v>
      </c>
      <c r="AF26" s="1" t="s">
        <v>259</v>
      </c>
      <c r="AG26" s="1">
        <v>1E-3</v>
      </c>
      <c r="AH26" s="1"/>
      <c r="AI26" s="1"/>
      <c r="AJ26" s="1" t="s">
        <v>466</v>
      </c>
      <c r="AK26" s="3" t="s">
        <v>214</v>
      </c>
      <c r="AL26" s="3" t="s">
        <v>343</v>
      </c>
      <c r="AM26" s="3" t="s">
        <v>61</v>
      </c>
      <c r="AN26" s="3" t="s">
        <v>67</v>
      </c>
      <c r="AO26" s="3" t="s">
        <v>221</v>
      </c>
      <c r="AP26" s="3" t="s">
        <v>53</v>
      </c>
      <c r="AQ26" s="3" t="s">
        <v>42</v>
      </c>
      <c r="AR26" s="3" t="s">
        <v>217</v>
      </c>
      <c r="AS26" t="s">
        <v>268</v>
      </c>
      <c r="AT26" t="s">
        <v>110</v>
      </c>
      <c r="AU26" t="s">
        <v>269</v>
      </c>
      <c r="AV26">
        <v>74</v>
      </c>
      <c r="AW26" t="s">
        <v>270</v>
      </c>
      <c r="AX26" t="s">
        <v>38</v>
      </c>
      <c r="AY26" t="s">
        <v>463</v>
      </c>
      <c r="AZ26" t="s">
        <v>568</v>
      </c>
      <c r="BA26" t="s">
        <v>225</v>
      </c>
      <c r="BB26" t="s">
        <v>516</v>
      </c>
      <c r="BC26" t="s">
        <v>250</v>
      </c>
    </row>
    <row r="27" spans="1:55" x14ac:dyDescent="0.2">
      <c r="A27" t="s">
        <v>23</v>
      </c>
      <c r="B27">
        <v>6</v>
      </c>
      <c r="C27">
        <v>2009</v>
      </c>
      <c r="D27" t="s">
        <v>15</v>
      </c>
      <c r="E27" t="s">
        <v>25</v>
      </c>
      <c r="F27">
        <f t="shared" si="1"/>
        <v>274</v>
      </c>
      <c r="G27">
        <v>283</v>
      </c>
      <c r="H27">
        <v>3</v>
      </c>
      <c r="I27" t="s">
        <v>346</v>
      </c>
      <c r="J27" t="s">
        <v>35</v>
      </c>
      <c r="K27" t="s">
        <v>38</v>
      </c>
      <c r="L27" t="s">
        <v>180</v>
      </c>
      <c r="M27">
        <v>5.0229999999999997</v>
      </c>
      <c r="N27" s="2">
        <v>4.8319999999999999</v>
      </c>
      <c r="O27" s="2">
        <v>3.7949999999999999</v>
      </c>
      <c r="P27" s="2">
        <v>5.2130000000000001</v>
      </c>
      <c r="Q27" s="2">
        <v>4.0940000000000003</v>
      </c>
      <c r="R27">
        <v>900</v>
      </c>
      <c r="S27" s="2" t="s">
        <v>396</v>
      </c>
      <c r="X27">
        <v>30</v>
      </c>
      <c r="Y27" t="s">
        <v>475</v>
      </c>
      <c r="Z27" t="s">
        <v>38</v>
      </c>
      <c r="AA27" s="2">
        <v>3.8</v>
      </c>
      <c r="AB27" s="2">
        <v>2</v>
      </c>
      <c r="AC27" s="2">
        <v>4.5</v>
      </c>
      <c r="AD27" s="2">
        <v>1.9</v>
      </c>
      <c r="AE27" s="1" t="s">
        <v>249</v>
      </c>
      <c r="AF27" s="1" t="s">
        <v>259</v>
      </c>
      <c r="AG27" s="1">
        <v>0.107</v>
      </c>
      <c r="AH27" s="1"/>
      <c r="AI27" s="1"/>
      <c r="AJ27" s="1" t="s">
        <v>466</v>
      </c>
      <c r="AK27" s="3" t="s">
        <v>214</v>
      </c>
      <c r="AL27" s="3" t="s">
        <v>343</v>
      </c>
      <c r="AM27" s="3" t="s">
        <v>61</v>
      </c>
      <c r="AN27" s="3" t="s">
        <v>67</v>
      </c>
      <c r="AO27" s="3" t="s">
        <v>222</v>
      </c>
      <c r="AP27" s="3" t="s">
        <v>53</v>
      </c>
      <c r="AQ27" s="3" t="s">
        <v>42</v>
      </c>
      <c r="AR27" s="3" t="s">
        <v>217</v>
      </c>
      <c r="AS27" t="s">
        <v>268</v>
      </c>
      <c r="AT27" t="s">
        <v>110</v>
      </c>
      <c r="AU27" t="s">
        <v>269</v>
      </c>
      <c r="AV27">
        <v>74</v>
      </c>
      <c r="AW27" t="s">
        <v>270</v>
      </c>
      <c r="AX27" t="s">
        <v>38</v>
      </c>
      <c r="AY27" t="s">
        <v>463</v>
      </c>
      <c r="AZ27" t="s">
        <v>568</v>
      </c>
      <c r="BA27" t="s">
        <v>226</v>
      </c>
      <c r="BB27" t="s">
        <v>517</v>
      </c>
      <c r="BC27" t="s">
        <v>249</v>
      </c>
    </row>
    <row r="28" spans="1:55" x14ac:dyDescent="0.2">
      <c r="A28" t="s">
        <v>23</v>
      </c>
      <c r="B28">
        <v>6</v>
      </c>
      <c r="C28">
        <v>2009</v>
      </c>
      <c r="D28" t="s">
        <v>15</v>
      </c>
      <c r="E28" t="s">
        <v>25</v>
      </c>
      <c r="F28">
        <f>82*274/557</f>
        <v>40.337522441651707</v>
      </c>
      <c r="G28">
        <f>82*283/557</f>
        <v>41.662477558348293</v>
      </c>
      <c r="H28">
        <v>4.5</v>
      </c>
      <c r="I28" t="s">
        <v>346</v>
      </c>
      <c r="J28" t="s">
        <v>35</v>
      </c>
      <c r="K28" t="s">
        <v>38</v>
      </c>
      <c r="L28" t="s">
        <v>180</v>
      </c>
      <c r="M28">
        <v>3.9475763016157983</v>
      </c>
      <c r="N28" s="2" t="s">
        <v>95</v>
      </c>
      <c r="O28" s="2" t="s">
        <v>95</v>
      </c>
      <c r="P28" s="2" t="s">
        <v>95</v>
      </c>
      <c r="Q28" s="2" t="s">
        <v>95</v>
      </c>
      <c r="R28">
        <v>900</v>
      </c>
      <c r="S28" s="2" t="s">
        <v>396</v>
      </c>
      <c r="X28">
        <v>30</v>
      </c>
      <c r="Y28" t="s">
        <v>475</v>
      </c>
      <c r="Z28" t="s">
        <v>38</v>
      </c>
      <c r="AA28" s="2" t="s">
        <v>95</v>
      </c>
      <c r="AB28" s="2" t="s">
        <v>95</v>
      </c>
      <c r="AC28" s="2" t="s">
        <v>95</v>
      </c>
      <c r="AD28" s="2" t="s">
        <v>95</v>
      </c>
      <c r="AE28" s="1" t="s">
        <v>245</v>
      </c>
      <c r="AF28" s="1" t="s">
        <v>259</v>
      </c>
      <c r="AG28" s="1">
        <v>0.115</v>
      </c>
      <c r="AH28" s="1"/>
      <c r="AI28" s="1"/>
      <c r="AJ28" s="1" t="s">
        <v>466</v>
      </c>
      <c r="AK28" s="3" t="s">
        <v>214</v>
      </c>
      <c r="AL28" s="3" t="s">
        <v>343</v>
      </c>
      <c r="AM28" s="3" t="s">
        <v>61</v>
      </c>
      <c r="AN28" s="3" t="s">
        <v>67</v>
      </c>
      <c r="AO28" s="3" t="s">
        <v>220</v>
      </c>
      <c r="AP28" s="3" t="s">
        <v>53</v>
      </c>
      <c r="AQ28" s="3" t="s">
        <v>42</v>
      </c>
      <c r="AR28" s="3" t="s">
        <v>217</v>
      </c>
      <c r="AS28" t="s">
        <v>268</v>
      </c>
      <c r="AT28" t="s">
        <v>110</v>
      </c>
      <c r="AU28" t="s">
        <v>269</v>
      </c>
      <c r="AV28">
        <v>25</v>
      </c>
      <c r="AW28" t="s">
        <v>270</v>
      </c>
      <c r="AX28" t="s">
        <v>38</v>
      </c>
      <c r="AY28" t="s">
        <v>463</v>
      </c>
      <c r="AZ28" t="s">
        <v>406</v>
      </c>
      <c r="BA28" t="s">
        <v>227</v>
      </c>
      <c r="BB28" t="s">
        <v>518</v>
      </c>
      <c r="BC28" t="s">
        <v>245</v>
      </c>
    </row>
    <row r="29" spans="1:55" x14ac:dyDescent="0.2">
      <c r="A29" t="s">
        <v>23</v>
      </c>
      <c r="B29">
        <v>6</v>
      </c>
      <c r="C29">
        <v>2009</v>
      </c>
      <c r="D29" t="s">
        <v>15</v>
      </c>
      <c r="E29" t="s">
        <v>25</v>
      </c>
      <c r="F29">
        <f t="shared" ref="F29:F30" si="2">82*274/557</f>
        <v>40.337522441651707</v>
      </c>
      <c r="G29">
        <f t="shared" ref="G29:G30" si="3">82*283/557</f>
        <v>41.662477558348293</v>
      </c>
      <c r="H29">
        <v>3</v>
      </c>
      <c r="I29" t="s">
        <v>346</v>
      </c>
      <c r="J29" t="s">
        <v>35</v>
      </c>
      <c r="K29" t="s">
        <v>38</v>
      </c>
      <c r="L29" t="s">
        <v>180</v>
      </c>
      <c r="M29">
        <v>3.9475763016157983</v>
      </c>
      <c r="N29" s="2" t="s">
        <v>95</v>
      </c>
      <c r="O29" s="2" t="s">
        <v>95</v>
      </c>
      <c r="P29" s="2" t="s">
        <v>95</v>
      </c>
      <c r="Q29" s="2" t="s">
        <v>95</v>
      </c>
      <c r="R29">
        <v>900</v>
      </c>
      <c r="S29" s="2" t="s">
        <v>396</v>
      </c>
      <c r="X29">
        <v>30</v>
      </c>
      <c r="Y29" t="s">
        <v>475</v>
      </c>
      <c r="Z29" t="s">
        <v>38</v>
      </c>
      <c r="AA29" s="2" t="s">
        <v>95</v>
      </c>
      <c r="AB29" s="2" t="s">
        <v>95</v>
      </c>
      <c r="AC29" s="2" t="s">
        <v>95</v>
      </c>
      <c r="AD29" s="2" t="s">
        <v>95</v>
      </c>
      <c r="AE29" s="1" t="s">
        <v>257</v>
      </c>
      <c r="AF29" s="1" t="s">
        <v>259</v>
      </c>
      <c r="AG29" s="1">
        <v>2.4E-2</v>
      </c>
      <c r="AH29" s="1"/>
      <c r="AI29" s="1"/>
      <c r="AJ29" s="1" t="s">
        <v>466</v>
      </c>
      <c r="AK29" s="3" t="s">
        <v>214</v>
      </c>
      <c r="AL29" s="3" t="s">
        <v>343</v>
      </c>
      <c r="AM29" s="3" t="s">
        <v>61</v>
      </c>
      <c r="AN29" s="3" t="s">
        <v>67</v>
      </c>
      <c r="AO29" s="3" t="s">
        <v>221</v>
      </c>
      <c r="AP29" s="3" t="s">
        <v>53</v>
      </c>
      <c r="AQ29" s="3" t="s">
        <v>42</v>
      </c>
      <c r="AR29" s="3" t="s">
        <v>217</v>
      </c>
      <c r="AS29" t="s">
        <v>268</v>
      </c>
      <c r="AT29" t="s">
        <v>110</v>
      </c>
      <c r="AU29" t="s">
        <v>269</v>
      </c>
      <c r="AV29">
        <v>25</v>
      </c>
      <c r="AW29" t="s">
        <v>270</v>
      </c>
      <c r="AX29" t="s">
        <v>38</v>
      </c>
      <c r="AY29" t="s">
        <v>463</v>
      </c>
      <c r="AZ29" t="s">
        <v>406</v>
      </c>
      <c r="BA29" t="s">
        <v>228</v>
      </c>
      <c r="BB29" t="s">
        <v>519</v>
      </c>
      <c r="BC29" t="s">
        <v>257</v>
      </c>
    </row>
    <row r="30" spans="1:55" x14ac:dyDescent="0.2">
      <c r="A30" t="s">
        <v>23</v>
      </c>
      <c r="B30">
        <v>6</v>
      </c>
      <c r="C30">
        <v>2009</v>
      </c>
      <c r="D30" t="s">
        <v>15</v>
      </c>
      <c r="E30" t="s">
        <v>25</v>
      </c>
      <c r="F30">
        <f t="shared" si="2"/>
        <v>40.337522441651707</v>
      </c>
      <c r="G30">
        <f t="shared" si="3"/>
        <v>41.662477558348293</v>
      </c>
      <c r="H30">
        <v>3</v>
      </c>
      <c r="I30" t="s">
        <v>346</v>
      </c>
      <c r="J30" t="s">
        <v>35</v>
      </c>
      <c r="K30" t="s">
        <v>38</v>
      </c>
      <c r="L30" t="s">
        <v>180</v>
      </c>
      <c r="M30">
        <v>3.9475763016157983</v>
      </c>
      <c r="N30" s="2" t="s">
        <v>95</v>
      </c>
      <c r="O30" s="2" t="s">
        <v>95</v>
      </c>
      <c r="P30" s="2" t="s">
        <v>95</v>
      </c>
      <c r="Q30" s="2" t="s">
        <v>95</v>
      </c>
      <c r="R30">
        <v>900</v>
      </c>
      <c r="S30" s="2" t="s">
        <v>396</v>
      </c>
      <c r="X30">
        <v>30</v>
      </c>
      <c r="Y30" t="s">
        <v>475</v>
      </c>
      <c r="Z30" t="s">
        <v>38</v>
      </c>
      <c r="AA30" s="2" t="s">
        <v>95</v>
      </c>
      <c r="AB30" s="2" t="s">
        <v>95</v>
      </c>
      <c r="AC30" s="2" t="s">
        <v>95</v>
      </c>
      <c r="AD30" s="2" t="s">
        <v>95</v>
      </c>
      <c r="AE30" s="1" t="s">
        <v>246</v>
      </c>
      <c r="AF30" s="1" t="s">
        <v>259</v>
      </c>
      <c r="AG30" s="1">
        <v>0.497</v>
      </c>
      <c r="AH30" s="1"/>
      <c r="AI30" s="1"/>
      <c r="AJ30" s="1" t="s">
        <v>466</v>
      </c>
      <c r="AK30" s="3" t="s">
        <v>214</v>
      </c>
      <c r="AL30" s="3" t="s">
        <v>343</v>
      </c>
      <c r="AM30" s="3" t="s">
        <v>61</v>
      </c>
      <c r="AN30" s="3" t="s">
        <v>67</v>
      </c>
      <c r="AO30" s="3" t="s">
        <v>222</v>
      </c>
      <c r="AP30" s="3" t="s">
        <v>53</v>
      </c>
      <c r="AQ30" s="3" t="s">
        <v>42</v>
      </c>
      <c r="AR30" s="3" t="s">
        <v>217</v>
      </c>
      <c r="AS30" t="s">
        <v>268</v>
      </c>
      <c r="AT30" t="s">
        <v>110</v>
      </c>
      <c r="AU30" t="s">
        <v>269</v>
      </c>
      <c r="AV30">
        <v>25</v>
      </c>
      <c r="AW30" t="s">
        <v>270</v>
      </c>
      <c r="AX30" t="s">
        <v>38</v>
      </c>
      <c r="AY30" t="s">
        <v>463</v>
      </c>
      <c r="AZ30" t="s">
        <v>406</v>
      </c>
      <c r="BA30" t="s">
        <v>229</v>
      </c>
      <c r="BB30" t="s">
        <v>520</v>
      </c>
      <c r="BC30" t="s">
        <v>246</v>
      </c>
    </row>
    <row r="31" spans="1:55" x14ac:dyDescent="0.2">
      <c r="A31" t="s">
        <v>23</v>
      </c>
      <c r="B31">
        <v>6</v>
      </c>
      <c r="C31">
        <v>2009</v>
      </c>
      <c r="D31" t="s">
        <v>15</v>
      </c>
      <c r="E31" t="s">
        <v>25</v>
      </c>
      <c r="F31">
        <f>457*274/557</f>
        <v>224.80789946140035</v>
      </c>
      <c r="G31">
        <f>457*283/557</f>
        <v>232.19210053859965</v>
      </c>
      <c r="H31">
        <v>4.5</v>
      </c>
      <c r="I31" t="s">
        <v>346</v>
      </c>
      <c r="J31" t="s">
        <v>35</v>
      </c>
      <c r="K31" t="s">
        <v>38</v>
      </c>
      <c r="L31" t="s">
        <v>180</v>
      </c>
      <c r="M31">
        <v>3.9475763016157983</v>
      </c>
      <c r="N31" s="2" t="s">
        <v>95</v>
      </c>
      <c r="O31" s="2" t="s">
        <v>95</v>
      </c>
      <c r="P31" s="2" t="s">
        <v>95</v>
      </c>
      <c r="Q31" s="2" t="s">
        <v>95</v>
      </c>
      <c r="R31">
        <v>900</v>
      </c>
      <c r="S31" s="2" t="s">
        <v>396</v>
      </c>
      <c r="X31">
        <v>30</v>
      </c>
      <c r="Y31" t="s">
        <v>475</v>
      </c>
      <c r="Z31" t="s">
        <v>38</v>
      </c>
      <c r="AA31" s="2" t="s">
        <v>95</v>
      </c>
      <c r="AB31" s="2" t="s">
        <v>95</v>
      </c>
      <c r="AC31" s="2" t="s">
        <v>95</v>
      </c>
      <c r="AD31" s="2" t="s">
        <v>95</v>
      </c>
      <c r="AE31" s="1" t="s">
        <v>247</v>
      </c>
      <c r="AF31" s="1" t="s">
        <v>259</v>
      </c>
      <c r="AG31" s="1">
        <v>1E-3</v>
      </c>
      <c r="AH31" s="1"/>
      <c r="AI31" s="1"/>
      <c r="AJ31" s="1" t="s">
        <v>466</v>
      </c>
      <c r="AK31" s="3" t="s">
        <v>214</v>
      </c>
      <c r="AL31" s="3" t="s">
        <v>343</v>
      </c>
      <c r="AM31" s="3" t="s">
        <v>61</v>
      </c>
      <c r="AN31" s="3" t="s">
        <v>67</v>
      </c>
      <c r="AO31" s="3" t="s">
        <v>220</v>
      </c>
      <c r="AP31" s="3" t="s">
        <v>53</v>
      </c>
      <c r="AQ31" s="3" t="s">
        <v>42</v>
      </c>
      <c r="AR31" s="3" t="s">
        <v>217</v>
      </c>
      <c r="AS31" t="s">
        <v>268</v>
      </c>
      <c r="AT31" t="s">
        <v>110</v>
      </c>
      <c r="AU31" t="s">
        <v>269</v>
      </c>
      <c r="AV31">
        <v>75</v>
      </c>
      <c r="AW31" t="s">
        <v>270</v>
      </c>
      <c r="AX31" t="s">
        <v>38</v>
      </c>
      <c r="AY31" t="s">
        <v>463</v>
      </c>
      <c r="AZ31" t="s">
        <v>406</v>
      </c>
      <c r="BA31" t="s">
        <v>230</v>
      </c>
      <c r="BB31" t="s">
        <v>521</v>
      </c>
      <c r="BC31" t="s">
        <v>247</v>
      </c>
    </row>
    <row r="32" spans="1:55" x14ac:dyDescent="0.2">
      <c r="A32" t="s">
        <v>23</v>
      </c>
      <c r="B32">
        <v>6</v>
      </c>
      <c r="C32">
        <v>2009</v>
      </c>
      <c r="D32" t="s">
        <v>15</v>
      </c>
      <c r="E32" t="s">
        <v>25</v>
      </c>
      <c r="F32">
        <f t="shared" ref="F32:F33" si="4">457*274/557</f>
        <v>224.80789946140035</v>
      </c>
      <c r="G32">
        <f t="shared" ref="G32:G33" si="5">457*283/557</f>
        <v>232.19210053859965</v>
      </c>
      <c r="H32">
        <v>3</v>
      </c>
      <c r="I32" t="s">
        <v>346</v>
      </c>
      <c r="J32" t="s">
        <v>35</v>
      </c>
      <c r="K32" t="s">
        <v>38</v>
      </c>
      <c r="L32" t="s">
        <v>180</v>
      </c>
      <c r="M32">
        <v>3.9475763016157983</v>
      </c>
      <c r="N32" s="2" t="s">
        <v>95</v>
      </c>
      <c r="O32" s="2" t="s">
        <v>95</v>
      </c>
      <c r="P32" s="2" t="s">
        <v>95</v>
      </c>
      <c r="Q32" s="2" t="s">
        <v>95</v>
      </c>
      <c r="R32">
        <v>900</v>
      </c>
      <c r="S32" s="2" t="s">
        <v>396</v>
      </c>
      <c r="X32">
        <v>30</v>
      </c>
      <c r="Y32" t="s">
        <v>475</v>
      </c>
      <c r="Z32" t="s">
        <v>38</v>
      </c>
      <c r="AA32" s="2" t="s">
        <v>95</v>
      </c>
      <c r="AB32" s="2" t="s">
        <v>95</v>
      </c>
      <c r="AC32" s="2" t="s">
        <v>95</v>
      </c>
      <c r="AD32" s="2" t="s">
        <v>95</v>
      </c>
      <c r="AE32" s="1" t="s">
        <v>248</v>
      </c>
      <c r="AF32" s="1" t="s">
        <v>259</v>
      </c>
      <c r="AG32" s="1">
        <v>1E-3</v>
      </c>
      <c r="AH32" s="1"/>
      <c r="AI32" s="1"/>
      <c r="AJ32" s="1" t="s">
        <v>466</v>
      </c>
      <c r="AK32" s="3" t="s">
        <v>214</v>
      </c>
      <c r="AL32" s="3" t="s">
        <v>343</v>
      </c>
      <c r="AM32" s="3" t="s">
        <v>61</v>
      </c>
      <c r="AN32" s="3" t="s">
        <v>67</v>
      </c>
      <c r="AO32" s="3" t="s">
        <v>221</v>
      </c>
      <c r="AP32" s="3" t="s">
        <v>53</v>
      </c>
      <c r="AQ32" s="3" t="s">
        <v>42</v>
      </c>
      <c r="AR32" s="3" t="s">
        <v>217</v>
      </c>
      <c r="AS32" t="s">
        <v>268</v>
      </c>
      <c r="AT32" t="s">
        <v>110</v>
      </c>
      <c r="AU32" t="s">
        <v>269</v>
      </c>
      <c r="AV32">
        <v>75</v>
      </c>
      <c r="AW32" t="s">
        <v>270</v>
      </c>
      <c r="AX32" t="s">
        <v>38</v>
      </c>
      <c r="AY32" t="s">
        <v>463</v>
      </c>
      <c r="AZ32" t="s">
        <v>406</v>
      </c>
      <c r="BA32" t="s">
        <v>231</v>
      </c>
      <c r="BB32" t="s">
        <v>522</v>
      </c>
      <c r="BC32" t="s">
        <v>248</v>
      </c>
    </row>
    <row r="33" spans="1:55" x14ac:dyDescent="0.2">
      <c r="A33" t="s">
        <v>23</v>
      </c>
      <c r="B33">
        <v>6</v>
      </c>
      <c r="C33">
        <v>2009</v>
      </c>
      <c r="D33" t="s">
        <v>15</v>
      </c>
      <c r="E33" t="s">
        <v>25</v>
      </c>
      <c r="F33">
        <f t="shared" si="4"/>
        <v>224.80789946140035</v>
      </c>
      <c r="G33">
        <f t="shared" si="5"/>
        <v>232.19210053859965</v>
      </c>
      <c r="H33">
        <v>3</v>
      </c>
      <c r="I33" t="s">
        <v>346</v>
      </c>
      <c r="J33" t="s">
        <v>35</v>
      </c>
      <c r="K33" t="s">
        <v>38</v>
      </c>
      <c r="L33" t="s">
        <v>180</v>
      </c>
      <c r="M33">
        <v>3.9475763016157983</v>
      </c>
      <c r="N33" s="2" t="s">
        <v>95</v>
      </c>
      <c r="O33" s="2" t="s">
        <v>95</v>
      </c>
      <c r="P33" s="2" t="s">
        <v>95</v>
      </c>
      <c r="Q33" s="2" t="s">
        <v>95</v>
      </c>
      <c r="R33">
        <v>900</v>
      </c>
      <c r="S33" s="2" t="s">
        <v>396</v>
      </c>
      <c r="X33">
        <v>30</v>
      </c>
      <c r="Y33" t="s">
        <v>475</v>
      </c>
      <c r="Z33" t="s">
        <v>38</v>
      </c>
      <c r="AA33" s="2" t="s">
        <v>95</v>
      </c>
      <c r="AB33" s="2" t="s">
        <v>95</v>
      </c>
      <c r="AC33" s="2" t="s">
        <v>95</v>
      </c>
      <c r="AD33" s="2" t="s">
        <v>95</v>
      </c>
      <c r="AE33" s="1" t="s">
        <v>251</v>
      </c>
      <c r="AF33" s="1" t="s">
        <v>259</v>
      </c>
      <c r="AG33" s="1">
        <v>3.7000000000000002E-3</v>
      </c>
      <c r="AH33" s="1"/>
      <c r="AI33" s="1"/>
      <c r="AJ33" s="1" t="s">
        <v>466</v>
      </c>
      <c r="AK33" s="3" t="s">
        <v>214</v>
      </c>
      <c r="AL33" s="3" t="s">
        <v>343</v>
      </c>
      <c r="AM33" s="3" t="s">
        <v>61</v>
      </c>
      <c r="AN33" s="3" t="s">
        <v>67</v>
      </c>
      <c r="AO33" s="3" t="s">
        <v>222</v>
      </c>
      <c r="AP33" s="3" t="s">
        <v>53</v>
      </c>
      <c r="AQ33" s="3" t="s">
        <v>42</v>
      </c>
      <c r="AR33" s="3" t="s">
        <v>217</v>
      </c>
      <c r="AS33" t="s">
        <v>268</v>
      </c>
      <c r="AT33" t="s">
        <v>110</v>
      </c>
      <c r="AU33" t="s">
        <v>269</v>
      </c>
      <c r="AV33">
        <v>75</v>
      </c>
      <c r="AW33" t="s">
        <v>270</v>
      </c>
      <c r="AX33" t="s">
        <v>38</v>
      </c>
      <c r="AY33" t="s">
        <v>463</v>
      </c>
      <c r="AZ33" t="s">
        <v>406</v>
      </c>
      <c r="BA33" t="s">
        <v>232</v>
      </c>
      <c r="BB33" t="s">
        <v>523</v>
      </c>
      <c r="BC33" t="s">
        <v>251</v>
      </c>
    </row>
    <row r="34" spans="1:55" x14ac:dyDescent="0.2">
      <c r="A34" t="s">
        <v>23</v>
      </c>
      <c r="B34">
        <v>6</v>
      </c>
      <c r="C34">
        <v>2009</v>
      </c>
      <c r="D34" t="s">
        <v>15</v>
      </c>
      <c r="E34" t="s">
        <v>25</v>
      </c>
      <c r="F34">
        <f>357*274/557</f>
        <v>175.61579892280071</v>
      </c>
      <c r="G34">
        <f>357*283/557</f>
        <v>181.38420107719929</v>
      </c>
      <c r="H34">
        <v>4.5</v>
      </c>
      <c r="I34" t="s">
        <v>346</v>
      </c>
      <c r="J34" t="s">
        <v>35</v>
      </c>
      <c r="K34" t="s">
        <v>38</v>
      </c>
      <c r="L34" t="s">
        <v>180</v>
      </c>
      <c r="M34">
        <v>3.9475763016157983</v>
      </c>
      <c r="N34" s="2" t="s">
        <v>95</v>
      </c>
      <c r="O34" s="2" t="s">
        <v>95</v>
      </c>
      <c r="P34" s="2" t="s">
        <v>95</v>
      </c>
      <c r="Q34" s="2" t="s">
        <v>95</v>
      </c>
      <c r="R34">
        <v>900</v>
      </c>
      <c r="S34" s="2" t="s">
        <v>396</v>
      </c>
      <c r="X34">
        <v>30</v>
      </c>
      <c r="Y34" t="s">
        <v>475</v>
      </c>
      <c r="Z34" t="s">
        <v>38</v>
      </c>
      <c r="AA34" s="2" t="s">
        <v>95</v>
      </c>
      <c r="AB34" s="2" t="s">
        <v>95</v>
      </c>
      <c r="AC34" s="2" t="s">
        <v>95</v>
      </c>
      <c r="AD34" s="2" t="s">
        <v>95</v>
      </c>
      <c r="AE34" s="1" t="s">
        <v>252</v>
      </c>
      <c r="AF34" s="1" t="s">
        <v>259</v>
      </c>
      <c r="AG34" s="1">
        <v>1E-3</v>
      </c>
      <c r="AH34" s="1"/>
      <c r="AI34" s="1"/>
      <c r="AJ34" s="1" t="s">
        <v>466</v>
      </c>
      <c r="AK34" s="3" t="s">
        <v>214</v>
      </c>
      <c r="AL34" s="3" t="s">
        <v>343</v>
      </c>
      <c r="AM34" s="3" t="s">
        <v>61</v>
      </c>
      <c r="AN34" s="3" t="s">
        <v>67</v>
      </c>
      <c r="AO34" s="3" t="s">
        <v>220</v>
      </c>
      <c r="AP34" s="3" t="s">
        <v>53</v>
      </c>
      <c r="AQ34" s="3" t="s">
        <v>42</v>
      </c>
      <c r="AR34" s="3" t="s">
        <v>217</v>
      </c>
      <c r="AS34" t="s">
        <v>268</v>
      </c>
      <c r="AT34" t="s">
        <v>110</v>
      </c>
      <c r="AU34" t="s">
        <v>269</v>
      </c>
      <c r="AV34">
        <v>83.5</v>
      </c>
      <c r="AW34" t="s">
        <v>270</v>
      </c>
      <c r="AX34" t="s">
        <v>38</v>
      </c>
      <c r="AY34" t="s">
        <v>463</v>
      </c>
      <c r="AZ34" t="s">
        <v>406</v>
      </c>
      <c r="BA34" t="s">
        <v>233</v>
      </c>
      <c r="BB34" t="s">
        <v>524</v>
      </c>
      <c r="BC34" t="s">
        <v>252</v>
      </c>
    </row>
    <row r="35" spans="1:55" x14ac:dyDescent="0.2">
      <c r="A35" t="s">
        <v>23</v>
      </c>
      <c r="B35">
        <v>6</v>
      </c>
      <c r="C35">
        <v>2009</v>
      </c>
      <c r="D35" t="s">
        <v>15</v>
      </c>
      <c r="E35" t="s">
        <v>25</v>
      </c>
      <c r="F35">
        <f t="shared" ref="F35:F36" si="6">357*274/557</f>
        <v>175.61579892280071</v>
      </c>
      <c r="G35">
        <f t="shared" ref="G35:G36" si="7">357*283/557</f>
        <v>181.38420107719929</v>
      </c>
      <c r="H35">
        <v>3</v>
      </c>
      <c r="I35" t="s">
        <v>346</v>
      </c>
      <c r="J35" t="s">
        <v>35</v>
      </c>
      <c r="K35" t="s">
        <v>38</v>
      </c>
      <c r="L35" t="s">
        <v>180</v>
      </c>
      <c r="M35">
        <v>3.9475763016157983</v>
      </c>
      <c r="N35" s="2" t="s">
        <v>95</v>
      </c>
      <c r="O35" s="2" t="s">
        <v>95</v>
      </c>
      <c r="P35" s="2" t="s">
        <v>95</v>
      </c>
      <c r="Q35" s="2" t="s">
        <v>95</v>
      </c>
      <c r="R35">
        <v>900</v>
      </c>
      <c r="S35" s="2" t="s">
        <v>396</v>
      </c>
      <c r="X35">
        <v>30</v>
      </c>
      <c r="Y35" t="s">
        <v>475</v>
      </c>
      <c r="Z35" t="s">
        <v>38</v>
      </c>
      <c r="AA35" s="2" t="s">
        <v>95</v>
      </c>
      <c r="AB35" s="2" t="s">
        <v>95</v>
      </c>
      <c r="AC35" s="2" t="s">
        <v>95</v>
      </c>
      <c r="AD35" s="2" t="s">
        <v>95</v>
      </c>
      <c r="AE35" s="1" t="s">
        <v>253</v>
      </c>
      <c r="AF35" s="1" t="s">
        <v>259</v>
      </c>
      <c r="AG35" s="1">
        <v>1E-3</v>
      </c>
      <c r="AH35" s="1"/>
      <c r="AI35" s="1"/>
      <c r="AJ35" s="1" t="s">
        <v>466</v>
      </c>
      <c r="AK35" s="3" t="s">
        <v>214</v>
      </c>
      <c r="AL35" s="3" t="s">
        <v>343</v>
      </c>
      <c r="AM35" s="3" t="s">
        <v>61</v>
      </c>
      <c r="AN35" s="3" t="s">
        <v>67</v>
      </c>
      <c r="AO35" s="3" t="s">
        <v>221</v>
      </c>
      <c r="AP35" s="3" t="s">
        <v>53</v>
      </c>
      <c r="AQ35" s="3" t="s">
        <v>42</v>
      </c>
      <c r="AR35" s="3" t="s">
        <v>217</v>
      </c>
      <c r="AS35" t="s">
        <v>268</v>
      </c>
      <c r="AT35" t="s">
        <v>110</v>
      </c>
      <c r="AU35" t="s">
        <v>269</v>
      </c>
      <c r="AV35">
        <v>83.5</v>
      </c>
      <c r="AW35" t="s">
        <v>270</v>
      </c>
      <c r="AX35" t="s">
        <v>38</v>
      </c>
      <c r="AY35" t="s">
        <v>463</v>
      </c>
      <c r="AZ35" t="s">
        <v>406</v>
      </c>
      <c r="BA35" t="s">
        <v>234</v>
      </c>
      <c r="BB35" t="s">
        <v>525</v>
      </c>
      <c r="BC35" t="s">
        <v>253</v>
      </c>
    </row>
    <row r="36" spans="1:55" x14ac:dyDescent="0.2">
      <c r="A36" t="s">
        <v>23</v>
      </c>
      <c r="B36">
        <v>6</v>
      </c>
      <c r="C36">
        <v>2009</v>
      </c>
      <c r="D36" t="s">
        <v>15</v>
      </c>
      <c r="E36" t="s">
        <v>25</v>
      </c>
      <c r="F36">
        <f t="shared" si="6"/>
        <v>175.61579892280071</v>
      </c>
      <c r="G36">
        <f t="shared" si="7"/>
        <v>181.38420107719929</v>
      </c>
      <c r="H36">
        <v>3</v>
      </c>
      <c r="I36" t="s">
        <v>346</v>
      </c>
      <c r="J36" t="s">
        <v>35</v>
      </c>
      <c r="K36" t="s">
        <v>38</v>
      </c>
      <c r="L36" t="s">
        <v>180</v>
      </c>
      <c r="M36">
        <v>3.9475763016157983</v>
      </c>
      <c r="N36" s="2" t="s">
        <v>95</v>
      </c>
      <c r="O36" s="2" t="s">
        <v>95</v>
      </c>
      <c r="P36" s="2" t="s">
        <v>95</v>
      </c>
      <c r="Q36" s="2" t="s">
        <v>95</v>
      </c>
      <c r="R36">
        <v>900</v>
      </c>
      <c r="S36" s="2" t="s">
        <v>396</v>
      </c>
      <c r="X36">
        <v>30</v>
      </c>
      <c r="Y36" t="s">
        <v>475</v>
      </c>
      <c r="Z36" t="s">
        <v>38</v>
      </c>
      <c r="AA36" s="2" t="s">
        <v>95</v>
      </c>
      <c r="AB36" s="2" t="s">
        <v>95</v>
      </c>
      <c r="AC36" s="2" t="s">
        <v>95</v>
      </c>
      <c r="AD36" s="2" t="s">
        <v>95</v>
      </c>
      <c r="AE36" s="1" t="s">
        <v>254</v>
      </c>
      <c r="AF36" s="1" t="s">
        <v>259</v>
      </c>
      <c r="AG36" s="1">
        <v>5.3999999999999999E-2</v>
      </c>
      <c r="AH36" s="1"/>
      <c r="AI36" s="1"/>
      <c r="AJ36" s="1" t="s">
        <v>466</v>
      </c>
      <c r="AK36" s="3" t="s">
        <v>214</v>
      </c>
      <c r="AL36" s="3" t="s">
        <v>343</v>
      </c>
      <c r="AM36" s="3" t="s">
        <v>61</v>
      </c>
      <c r="AN36" s="3" t="s">
        <v>67</v>
      </c>
      <c r="AO36" s="3" t="s">
        <v>222</v>
      </c>
      <c r="AP36" s="3" t="s">
        <v>53</v>
      </c>
      <c r="AQ36" s="3" t="s">
        <v>42</v>
      </c>
      <c r="AR36" s="3" t="s">
        <v>217</v>
      </c>
      <c r="AS36" t="s">
        <v>268</v>
      </c>
      <c r="AT36" t="s">
        <v>110</v>
      </c>
      <c r="AU36" t="s">
        <v>269</v>
      </c>
      <c r="AV36">
        <v>83.5</v>
      </c>
      <c r="AW36" t="s">
        <v>270</v>
      </c>
      <c r="AX36" t="s">
        <v>38</v>
      </c>
      <c r="AY36" t="s">
        <v>463</v>
      </c>
      <c r="AZ36" t="s">
        <v>406</v>
      </c>
      <c r="BA36" t="s">
        <v>235</v>
      </c>
      <c r="BB36" t="s">
        <v>526</v>
      </c>
      <c r="BC36" t="s">
        <v>254</v>
      </c>
    </row>
    <row r="37" spans="1:55" x14ac:dyDescent="0.2">
      <c r="A37" t="s">
        <v>23</v>
      </c>
      <c r="B37">
        <v>6</v>
      </c>
      <c r="C37">
        <v>2009</v>
      </c>
      <c r="D37" t="s">
        <v>15</v>
      </c>
      <c r="E37" t="s">
        <v>25</v>
      </c>
      <c r="F37">
        <f>241*274/557</f>
        <v>118.55296229802514</v>
      </c>
      <c r="G37">
        <f>241*283/557</f>
        <v>122.44703770197486</v>
      </c>
      <c r="H37">
        <v>4.5</v>
      </c>
      <c r="I37" t="s">
        <v>346</v>
      </c>
      <c r="J37" t="s">
        <v>35</v>
      </c>
      <c r="K37" t="s">
        <v>38</v>
      </c>
      <c r="L37" t="s">
        <v>180</v>
      </c>
      <c r="M37">
        <v>3.9475763016157983</v>
      </c>
      <c r="N37" s="2" t="s">
        <v>95</v>
      </c>
      <c r="O37" s="2" t="s">
        <v>95</v>
      </c>
      <c r="P37" s="2" t="s">
        <v>95</v>
      </c>
      <c r="Q37" s="2" t="s">
        <v>95</v>
      </c>
      <c r="R37">
        <v>900</v>
      </c>
      <c r="S37" s="2" t="s">
        <v>396</v>
      </c>
      <c r="X37">
        <v>30</v>
      </c>
      <c r="Y37" t="s">
        <v>475</v>
      </c>
      <c r="Z37" t="s">
        <v>38</v>
      </c>
      <c r="AA37" s="2" t="s">
        <v>95</v>
      </c>
      <c r="AB37" s="2" t="s">
        <v>95</v>
      </c>
      <c r="AC37" s="2" t="s">
        <v>95</v>
      </c>
      <c r="AD37" s="2" t="s">
        <v>95</v>
      </c>
      <c r="AE37" s="1" t="s">
        <v>253</v>
      </c>
      <c r="AF37" s="1" t="s">
        <v>259</v>
      </c>
      <c r="AG37" s="1">
        <v>1E-3</v>
      </c>
      <c r="AH37" s="1"/>
      <c r="AI37" s="1"/>
      <c r="AJ37" s="1" t="s">
        <v>466</v>
      </c>
      <c r="AK37" s="3" t="s">
        <v>214</v>
      </c>
      <c r="AL37" s="3" t="s">
        <v>343</v>
      </c>
      <c r="AM37" s="3" t="s">
        <v>61</v>
      </c>
      <c r="AN37" s="3" t="s">
        <v>67</v>
      </c>
      <c r="AO37" s="3" t="s">
        <v>220</v>
      </c>
      <c r="AP37" s="3" t="s">
        <v>53</v>
      </c>
      <c r="AQ37" s="3" t="s">
        <v>42</v>
      </c>
      <c r="AR37" s="3" t="s">
        <v>217</v>
      </c>
      <c r="AS37" t="s">
        <v>268</v>
      </c>
      <c r="AT37" t="s">
        <v>110</v>
      </c>
      <c r="AU37" t="s">
        <v>269</v>
      </c>
      <c r="AV37">
        <v>87.5</v>
      </c>
      <c r="AW37" t="s">
        <v>270</v>
      </c>
      <c r="AX37" t="s">
        <v>38</v>
      </c>
      <c r="AY37" t="s">
        <v>463</v>
      </c>
      <c r="AZ37" t="s">
        <v>406</v>
      </c>
      <c r="BA37" t="s">
        <v>236</v>
      </c>
      <c r="BB37" t="s">
        <v>527</v>
      </c>
      <c r="BC37" t="s">
        <v>253</v>
      </c>
    </row>
    <row r="38" spans="1:55" x14ac:dyDescent="0.2">
      <c r="A38" t="s">
        <v>23</v>
      </c>
      <c r="B38">
        <v>6</v>
      </c>
      <c r="C38">
        <v>2009</v>
      </c>
      <c r="D38" t="s">
        <v>15</v>
      </c>
      <c r="E38" t="s">
        <v>25</v>
      </c>
      <c r="F38">
        <f t="shared" ref="F38:F39" si="8">241*274/557</f>
        <v>118.55296229802514</v>
      </c>
      <c r="G38">
        <f t="shared" ref="G38:G39" si="9">241*283/557</f>
        <v>122.44703770197486</v>
      </c>
      <c r="H38">
        <v>3</v>
      </c>
      <c r="I38" t="s">
        <v>346</v>
      </c>
      <c r="J38" t="s">
        <v>35</v>
      </c>
      <c r="K38" t="s">
        <v>38</v>
      </c>
      <c r="L38" t="s">
        <v>180</v>
      </c>
      <c r="M38">
        <v>3.9475763016157983</v>
      </c>
      <c r="N38" s="2" t="s">
        <v>95</v>
      </c>
      <c r="O38" s="2" t="s">
        <v>95</v>
      </c>
      <c r="P38" s="2" t="s">
        <v>95</v>
      </c>
      <c r="Q38" s="2" t="s">
        <v>95</v>
      </c>
      <c r="R38">
        <v>900</v>
      </c>
      <c r="S38" s="2" t="s">
        <v>396</v>
      </c>
      <c r="X38">
        <v>30</v>
      </c>
      <c r="Y38" t="s">
        <v>475</v>
      </c>
      <c r="Z38" t="s">
        <v>38</v>
      </c>
      <c r="AA38" s="2" t="s">
        <v>95</v>
      </c>
      <c r="AB38" s="2" t="s">
        <v>95</v>
      </c>
      <c r="AC38" s="2" t="s">
        <v>95</v>
      </c>
      <c r="AD38" s="2" t="s">
        <v>95</v>
      </c>
      <c r="AE38" s="1" t="s">
        <v>258</v>
      </c>
      <c r="AF38" s="1" t="s">
        <v>259</v>
      </c>
      <c r="AG38" s="1">
        <v>1E-3</v>
      </c>
      <c r="AH38" s="1"/>
      <c r="AI38" s="1"/>
      <c r="AJ38" s="1" t="s">
        <v>466</v>
      </c>
      <c r="AK38" s="3" t="s">
        <v>214</v>
      </c>
      <c r="AL38" s="3" t="s">
        <v>343</v>
      </c>
      <c r="AM38" s="3" t="s">
        <v>61</v>
      </c>
      <c r="AN38" s="3" t="s">
        <v>67</v>
      </c>
      <c r="AO38" s="3" t="s">
        <v>221</v>
      </c>
      <c r="AP38" s="3" t="s">
        <v>53</v>
      </c>
      <c r="AQ38" s="3" t="s">
        <v>42</v>
      </c>
      <c r="AR38" s="3" t="s">
        <v>217</v>
      </c>
      <c r="AS38" t="s">
        <v>268</v>
      </c>
      <c r="AT38" t="s">
        <v>110</v>
      </c>
      <c r="AU38" t="s">
        <v>269</v>
      </c>
      <c r="AV38">
        <v>87.5</v>
      </c>
      <c r="AW38" t="s">
        <v>270</v>
      </c>
      <c r="AX38" t="s">
        <v>38</v>
      </c>
      <c r="AY38" t="s">
        <v>463</v>
      </c>
      <c r="AZ38" t="s">
        <v>406</v>
      </c>
      <c r="BA38" t="s">
        <v>237</v>
      </c>
      <c r="BB38" t="s">
        <v>528</v>
      </c>
      <c r="BC38" t="s">
        <v>258</v>
      </c>
    </row>
    <row r="39" spans="1:55" x14ac:dyDescent="0.2">
      <c r="A39" t="s">
        <v>23</v>
      </c>
      <c r="B39">
        <v>6</v>
      </c>
      <c r="C39">
        <v>2009</v>
      </c>
      <c r="D39" t="s">
        <v>15</v>
      </c>
      <c r="E39" t="s">
        <v>25</v>
      </c>
      <c r="F39">
        <f t="shared" si="8"/>
        <v>118.55296229802514</v>
      </c>
      <c r="G39">
        <f t="shared" si="9"/>
        <v>122.44703770197486</v>
      </c>
      <c r="H39">
        <v>3</v>
      </c>
      <c r="I39" t="s">
        <v>346</v>
      </c>
      <c r="J39" t="s">
        <v>35</v>
      </c>
      <c r="K39" t="s">
        <v>38</v>
      </c>
      <c r="L39" t="s">
        <v>180</v>
      </c>
      <c r="M39">
        <v>3.9475763016157983</v>
      </c>
      <c r="N39" s="2" t="s">
        <v>95</v>
      </c>
      <c r="O39" s="2" t="s">
        <v>95</v>
      </c>
      <c r="P39" s="2" t="s">
        <v>95</v>
      </c>
      <c r="Q39" s="2" t="s">
        <v>95</v>
      </c>
      <c r="R39">
        <v>900</v>
      </c>
      <c r="S39" s="2" t="s">
        <v>396</v>
      </c>
      <c r="X39">
        <v>30</v>
      </c>
      <c r="Y39" t="s">
        <v>475</v>
      </c>
      <c r="Z39" t="s">
        <v>38</v>
      </c>
      <c r="AA39" s="2" t="s">
        <v>95</v>
      </c>
      <c r="AB39" s="2" t="s">
        <v>95</v>
      </c>
      <c r="AC39" s="2" t="s">
        <v>95</v>
      </c>
      <c r="AD39" s="2" t="s">
        <v>95</v>
      </c>
      <c r="AE39" s="1" t="s">
        <v>255</v>
      </c>
      <c r="AF39" s="1" t="s">
        <v>259</v>
      </c>
      <c r="AG39" s="1">
        <v>4.0000000000000001E-3</v>
      </c>
      <c r="AH39" s="1"/>
      <c r="AI39" s="1"/>
      <c r="AJ39" s="1" t="s">
        <v>466</v>
      </c>
      <c r="AK39" s="3" t="s">
        <v>214</v>
      </c>
      <c r="AL39" s="3" t="s">
        <v>343</v>
      </c>
      <c r="AM39" s="3" t="s">
        <v>61</v>
      </c>
      <c r="AN39" s="3" t="s">
        <v>67</v>
      </c>
      <c r="AO39" s="3" t="s">
        <v>222</v>
      </c>
      <c r="AP39" s="3" t="s">
        <v>53</v>
      </c>
      <c r="AQ39" s="3" t="s">
        <v>42</v>
      </c>
      <c r="AR39" s="3" t="s">
        <v>217</v>
      </c>
      <c r="AS39" t="s">
        <v>268</v>
      </c>
      <c r="AT39" t="s">
        <v>110</v>
      </c>
      <c r="AU39" t="s">
        <v>269</v>
      </c>
      <c r="AV39">
        <v>87.5</v>
      </c>
      <c r="AW39" t="s">
        <v>270</v>
      </c>
      <c r="AX39" t="s">
        <v>38</v>
      </c>
      <c r="AY39" t="s">
        <v>463</v>
      </c>
      <c r="AZ39" t="s">
        <v>406</v>
      </c>
      <c r="BA39" t="s">
        <v>238</v>
      </c>
      <c r="BB39" t="s">
        <v>529</v>
      </c>
      <c r="BC39" t="s">
        <v>255</v>
      </c>
    </row>
    <row r="40" spans="1:55" x14ac:dyDescent="0.2">
      <c r="A40" t="s">
        <v>23</v>
      </c>
      <c r="B40">
        <v>6</v>
      </c>
      <c r="C40">
        <v>2009</v>
      </c>
      <c r="D40" t="s">
        <v>15</v>
      </c>
      <c r="E40" t="s">
        <v>25</v>
      </c>
      <c r="F40">
        <v>166</v>
      </c>
      <c r="G40">
        <v>183</v>
      </c>
      <c r="H40">
        <v>6</v>
      </c>
      <c r="I40" t="s">
        <v>346</v>
      </c>
      <c r="J40" t="s">
        <v>35</v>
      </c>
      <c r="K40" t="s">
        <v>38</v>
      </c>
      <c r="L40" t="s">
        <v>180</v>
      </c>
      <c r="M40">
        <v>3.9475763016157983</v>
      </c>
      <c r="N40" s="2" t="s">
        <v>261</v>
      </c>
      <c r="O40" s="2" t="s">
        <v>95</v>
      </c>
      <c r="P40" s="2" t="s">
        <v>261</v>
      </c>
      <c r="Q40" s="2" t="s">
        <v>95</v>
      </c>
      <c r="R40">
        <v>900</v>
      </c>
      <c r="S40" s="2" t="s">
        <v>396</v>
      </c>
      <c r="X40">
        <v>30</v>
      </c>
      <c r="Y40" t="s">
        <v>475</v>
      </c>
      <c r="Z40" t="s">
        <v>38</v>
      </c>
      <c r="AA40" s="2" t="s">
        <v>95</v>
      </c>
      <c r="AB40" s="2" t="s">
        <v>95</v>
      </c>
      <c r="AC40" s="2" t="s">
        <v>95</v>
      </c>
      <c r="AD40" s="2" t="s">
        <v>95</v>
      </c>
      <c r="AE40" s="1" t="s">
        <v>263</v>
      </c>
      <c r="AF40" s="1" t="s">
        <v>259</v>
      </c>
      <c r="AG40" s="1">
        <v>0.08</v>
      </c>
      <c r="AH40" s="1"/>
      <c r="AI40" s="1"/>
      <c r="AJ40" s="1" t="s">
        <v>467</v>
      </c>
      <c r="AK40" s="3" t="s">
        <v>214</v>
      </c>
      <c r="AL40" s="3" t="s">
        <v>343</v>
      </c>
      <c r="AM40" s="3" t="s">
        <v>61</v>
      </c>
      <c r="AN40" s="3" t="s">
        <v>67</v>
      </c>
      <c r="AO40" s="3" t="s">
        <v>64</v>
      </c>
      <c r="AP40" s="3" t="s">
        <v>53</v>
      </c>
      <c r="AQ40" s="3" t="s">
        <v>42</v>
      </c>
      <c r="AR40" s="3" t="s">
        <v>217</v>
      </c>
      <c r="AS40" t="s">
        <v>268</v>
      </c>
      <c r="AT40" t="s">
        <v>110</v>
      </c>
      <c r="AU40" t="s">
        <v>269</v>
      </c>
      <c r="AV40">
        <v>74</v>
      </c>
      <c r="AW40" t="s">
        <v>270</v>
      </c>
      <c r="AX40" t="s">
        <v>38</v>
      </c>
      <c r="AY40" t="s">
        <v>463</v>
      </c>
      <c r="AZ40" t="s">
        <v>407</v>
      </c>
      <c r="BA40" t="s">
        <v>239</v>
      </c>
      <c r="BB40" t="s">
        <v>530</v>
      </c>
      <c r="BC40" t="s">
        <v>263</v>
      </c>
    </row>
    <row r="41" spans="1:55" x14ac:dyDescent="0.2">
      <c r="A41" t="s">
        <v>23</v>
      </c>
      <c r="B41">
        <v>6</v>
      </c>
      <c r="C41">
        <v>2009</v>
      </c>
      <c r="D41" t="s">
        <v>15</v>
      </c>
      <c r="E41" t="s">
        <v>25</v>
      </c>
      <c r="F41">
        <v>108</v>
      </c>
      <c r="G41">
        <v>100</v>
      </c>
      <c r="H41">
        <v>6</v>
      </c>
      <c r="I41" t="s">
        <v>346</v>
      </c>
      <c r="J41" t="s">
        <v>35</v>
      </c>
      <c r="K41" t="s">
        <v>38</v>
      </c>
      <c r="L41" t="s">
        <v>180</v>
      </c>
      <c r="M41">
        <v>3.9475763016157983</v>
      </c>
      <c r="N41" s="2" t="s">
        <v>262</v>
      </c>
      <c r="O41" s="2" t="s">
        <v>95</v>
      </c>
      <c r="P41" s="2" t="s">
        <v>262</v>
      </c>
      <c r="Q41" s="2" t="s">
        <v>95</v>
      </c>
      <c r="R41">
        <v>900</v>
      </c>
      <c r="S41" s="2" t="s">
        <v>396</v>
      </c>
      <c r="X41">
        <v>30</v>
      </c>
      <c r="Y41" t="s">
        <v>475</v>
      </c>
      <c r="Z41" t="s">
        <v>38</v>
      </c>
      <c r="AA41" s="2" t="s">
        <v>95</v>
      </c>
      <c r="AB41" s="2" t="s">
        <v>95</v>
      </c>
      <c r="AC41" s="2" t="s">
        <v>95</v>
      </c>
      <c r="AD41" s="2" t="s">
        <v>95</v>
      </c>
      <c r="AE41" s="1" t="s">
        <v>264</v>
      </c>
      <c r="AF41" s="1" t="s">
        <v>259</v>
      </c>
      <c r="AG41" s="1">
        <v>3.0000000000000001E-3</v>
      </c>
      <c r="AH41" s="1"/>
      <c r="AI41" s="1"/>
      <c r="AJ41" s="1" t="s">
        <v>467</v>
      </c>
      <c r="AK41" s="3" t="s">
        <v>214</v>
      </c>
      <c r="AL41" s="3" t="s">
        <v>343</v>
      </c>
      <c r="AM41" s="3" t="s">
        <v>61</v>
      </c>
      <c r="AN41" s="3" t="s">
        <v>67</v>
      </c>
      <c r="AO41" s="3" t="s">
        <v>64</v>
      </c>
      <c r="AP41" s="3" t="s">
        <v>53</v>
      </c>
      <c r="AQ41" s="3" t="s">
        <v>42</v>
      </c>
      <c r="AR41" s="3" t="s">
        <v>217</v>
      </c>
      <c r="AS41" t="s">
        <v>268</v>
      </c>
      <c r="AT41" t="s">
        <v>110</v>
      </c>
      <c r="AU41" t="s">
        <v>269</v>
      </c>
      <c r="AV41">
        <v>74</v>
      </c>
      <c r="AW41" t="s">
        <v>270</v>
      </c>
      <c r="AX41" t="s">
        <v>38</v>
      </c>
      <c r="AY41" t="s">
        <v>463</v>
      </c>
      <c r="AZ41" t="s">
        <v>407</v>
      </c>
      <c r="BA41" t="s">
        <v>240</v>
      </c>
      <c r="BB41" t="s">
        <v>531</v>
      </c>
      <c r="BC41" t="s">
        <v>264</v>
      </c>
    </row>
    <row r="42" spans="1:55" x14ac:dyDescent="0.2">
      <c r="A42" t="s">
        <v>23</v>
      </c>
      <c r="B42">
        <v>6</v>
      </c>
      <c r="C42">
        <v>2009</v>
      </c>
      <c r="D42" t="s">
        <v>15</v>
      </c>
      <c r="E42" t="s">
        <v>25</v>
      </c>
      <c r="F42">
        <v>130</v>
      </c>
      <c r="G42">
        <v>162</v>
      </c>
      <c r="H42">
        <v>6</v>
      </c>
      <c r="I42" t="s">
        <v>346</v>
      </c>
      <c r="J42" t="s">
        <v>35</v>
      </c>
      <c r="K42" t="s">
        <v>38</v>
      </c>
      <c r="L42" t="s">
        <v>180</v>
      </c>
      <c r="M42">
        <v>3.9475763016157983</v>
      </c>
      <c r="N42" s="2" t="s">
        <v>261</v>
      </c>
      <c r="O42" s="2" t="s">
        <v>95</v>
      </c>
      <c r="P42" s="2" t="s">
        <v>261</v>
      </c>
      <c r="Q42" s="2" t="s">
        <v>95</v>
      </c>
      <c r="R42">
        <v>900</v>
      </c>
      <c r="S42" s="2" t="s">
        <v>396</v>
      </c>
      <c r="X42">
        <v>30</v>
      </c>
      <c r="Y42" t="s">
        <v>475</v>
      </c>
      <c r="Z42" t="s">
        <v>38</v>
      </c>
      <c r="AA42" s="2" t="s">
        <v>95</v>
      </c>
      <c r="AB42" s="2" t="s">
        <v>95</v>
      </c>
      <c r="AC42" s="2" t="s">
        <v>95</v>
      </c>
      <c r="AD42" s="2" t="s">
        <v>95</v>
      </c>
      <c r="AE42" s="1" t="s">
        <v>265</v>
      </c>
      <c r="AF42" s="1" t="s">
        <v>259</v>
      </c>
      <c r="AG42" s="1">
        <v>0.01</v>
      </c>
      <c r="AH42" s="1"/>
      <c r="AI42" s="1"/>
      <c r="AJ42" s="1" t="s">
        <v>467</v>
      </c>
      <c r="AK42" s="3" t="s">
        <v>214</v>
      </c>
      <c r="AL42" s="3" t="s">
        <v>343</v>
      </c>
      <c r="AM42" s="3" t="s">
        <v>61</v>
      </c>
      <c r="AN42" s="3" t="s">
        <v>67</v>
      </c>
      <c r="AO42" s="3" t="s">
        <v>64</v>
      </c>
      <c r="AP42" s="3" t="s">
        <v>53</v>
      </c>
      <c r="AQ42" s="3" t="s">
        <v>42</v>
      </c>
      <c r="AR42" s="3" t="s">
        <v>217</v>
      </c>
      <c r="AS42" t="s">
        <v>268</v>
      </c>
      <c r="AT42" t="s">
        <v>110</v>
      </c>
      <c r="AU42" t="s">
        <v>269</v>
      </c>
      <c r="AV42">
        <v>75</v>
      </c>
      <c r="AW42" t="s">
        <v>270</v>
      </c>
      <c r="AX42" t="s">
        <v>38</v>
      </c>
      <c r="AY42" t="s">
        <v>463</v>
      </c>
      <c r="AZ42" t="s">
        <v>406</v>
      </c>
      <c r="BA42" t="s">
        <v>241</v>
      </c>
      <c r="BB42" t="s">
        <v>532</v>
      </c>
      <c r="BC42" t="s">
        <v>265</v>
      </c>
    </row>
    <row r="43" spans="1:55" x14ac:dyDescent="0.2">
      <c r="A43" t="s">
        <v>23</v>
      </c>
      <c r="B43">
        <v>6</v>
      </c>
      <c r="C43">
        <v>2009</v>
      </c>
      <c r="D43" t="s">
        <v>15</v>
      </c>
      <c r="E43" t="s">
        <v>25</v>
      </c>
      <c r="F43">
        <v>96</v>
      </c>
      <c r="G43">
        <v>87</v>
      </c>
      <c r="H43">
        <v>6</v>
      </c>
      <c r="I43" t="s">
        <v>346</v>
      </c>
      <c r="J43" t="s">
        <v>35</v>
      </c>
      <c r="K43" t="s">
        <v>38</v>
      </c>
      <c r="L43" t="s">
        <v>180</v>
      </c>
      <c r="M43">
        <v>3.9475763016157983</v>
      </c>
      <c r="N43" s="2" t="s">
        <v>262</v>
      </c>
      <c r="O43" s="2" t="s">
        <v>95</v>
      </c>
      <c r="P43" s="2" t="s">
        <v>262</v>
      </c>
      <c r="Q43" s="2" t="s">
        <v>95</v>
      </c>
      <c r="R43">
        <v>900</v>
      </c>
      <c r="S43" s="2" t="s">
        <v>396</v>
      </c>
      <c r="X43">
        <v>30</v>
      </c>
      <c r="Y43" t="s">
        <v>475</v>
      </c>
      <c r="Z43" t="s">
        <v>38</v>
      </c>
      <c r="AA43" s="2" t="s">
        <v>95</v>
      </c>
      <c r="AB43" s="2" t="s">
        <v>95</v>
      </c>
      <c r="AC43" s="2" t="s">
        <v>95</v>
      </c>
      <c r="AD43" s="2" t="s">
        <v>95</v>
      </c>
      <c r="AE43" s="1" t="s">
        <v>264</v>
      </c>
      <c r="AF43" s="1" t="s">
        <v>259</v>
      </c>
      <c r="AG43" s="1">
        <v>4.0000000000000001E-3</v>
      </c>
      <c r="AH43" s="1"/>
      <c r="AI43" s="1"/>
      <c r="AJ43" s="1" t="s">
        <v>467</v>
      </c>
      <c r="AK43" s="3" t="s">
        <v>214</v>
      </c>
      <c r="AL43" s="3" t="s">
        <v>343</v>
      </c>
      <c r="AM43" s="3" t="s">
        <v>61</v>
      </c>
      <c r="AN43" s="3" t="s">
        <v>67</v>
      </c>
      <c r="AO43" s="3" t="s">
        <v>64</v>
      </c>
      <c r="AP43" s="3" t="s">
        <v>53</v>
      </c>
      <c r="AQ43" s="3" t="s">
        <v>42</v>
      </c>
      <c r="AR43" s="3" t="s">
        <v>217</v>
      </c>
      <c r="AS43" t="s">
        <v>268</v>
      </c>
      <c r="AT43" t="s">
        <v>110</v>
      </c>
      <c r="AU43" t="s">
        <v>269</v>
      </c>
      <c r="AV43">
        <v>75</v>
      </c>
      <c r="AW43" t="s">
        <v>270</v>
      </c>
      <c r="AX43" t="s">
        <v>38</v>
      </c>
      <c r="AY43" t="s">
        <v>463</v>
      </c>
      <c r="AZ43" t="s">
        <v>406</v>
      </c>
      <c r="BA43" t="s">
        <v>242</v>
      </c>
      <c r="BB43" t="s">
        <v>533</v>
      </c>
      <c r="BC43" t="s">
        <v>264</v>
      </c>
    </row>
    <row r="44" spans="1:55" x14ac:dyDescent="0.2">
      <c r="A44" t="s">
        <v>23</v>
      </c>
      <c r="B44">
        <v>6</v>
      </c>
      <c r="C44">
        <v>2009</v>
      </c>
      <c r="D44" t="s">
        <v>15</v>
      </c>
      <c r="E44" t="s">
        <v>25</v>
      </c>
      <c r="F44">
        <v>36</v>
      </c>
      <c r="G44">
        <v>21</v>
      </c>
      <c r="H44">
        <v>6</v>
      </c>
      <c r="I44" t="s">
        <v>346</v>
      </c>
      <c r="J44" t="s">
        <v>35</v>
      </c>
      <c r="K44" t="s">
        <v>38</v>
      </c>
      <c r="L44" t="s">
        <v>180</v>
      </c>
      <c r="M44">
        <v>3.9475763016157983</v>
      </c>
      <c r="N44" s="2" t="s">
        <v>261</v>
      </c>
      <c r="O44" s="2" t="s">
        <v>95</v>
      </c>
      <c r="P44" s="2" t="s">
        <v>261</v>
      </c>
      <c r="Q44" s="2" t="s">
        <v>95</v>
      </c>
      <c r="R44">
        <v>900</v>
      </c>
      <c r="S44" s="2" t="s">
        <v>396</v>
      </c>
      <c r="X44">
        <v>30</v>
      </c>
      <c r="Y44" t="s">
        <v>475</v>
      </c>
      <c r="Z44" t="s">
        <v>38</v>
      </c>
      <c r="AA44" s="2" t="s">
        <v>95</v>
      </c>
      <c r="AB44" s="2" t="s">
        <v>95</v>
      </c>
      <c r="AC44" s="2" t="s">
        <v>95</v>
      </c>
      <c r="AD44" s="2" t="s">
        <v>95</v>
      </c>
      <c r="AE44" s="1" t="s">
        <v>266</v>
      </c>
      <c r="AF44" s="1" t="s">
        <v>259</v>
      </c>
      <c r="AG44" s="1">
        <v>0.02</v>
      </c>
      <c r="AH44" s="1"/>
      <c r="AI44" s="1"/>
      <c r="AJ44" s="1" t="s">
        <v>467</v>
      </c>
      <c r="AK44" s="3" t="s">
        <v>214</v>
      </c>
      <c r="AL44" s="3" t="s">
        <v>343</v>
      </c>
      <c r="AM44" s="3" t="s">
        <v>61</v>
      </c>
      <c r="AN44" s="3" t="s">
        <v>67</v>
      </c>
      <c r="AO44" s="3" t="s">
        <v>64</v>
      </c>
      <c r="AP44" s="3" t="s">
        <v>53</v>
      </c>
      <c r="AQ44" s="3" t="s">
        <v>42</v>
      </c>
      <c r="AR44" s="3" t="s">
        <v>217</v>
      </c>
      <c r="AS44" t="s">
        <v>268</v>
      </c>
      <c r="AT44" t="s">
        <v>110</v>
      </c>
      <c r="AU44" t="s">
        <v>269</v>
      </c>
      <c r="AV44">
        <v>25</v>
      </c>
      <c r="AW44" t="s">
        <v>270</v>
      </c>
      <c r="AX44" t="s">
        <v>38</v>
      </c>
      <c r="AY44" t="s">
        <v>463</v>
      </c>
      <c r="AZ44" t="s">
        <v>406</v>
      </c>
      <c r="BA44" t="s">
        <v>243</v>
      </c>
      <c r="BB44" t="s">
        <v>534</v>
      </c>
      <c r="BC44" t="s">
        <v>266</v>
      </c>
    </row>
    <row r="45" spans="1:55" x14ac:dyDescent="0.2">
      <c r="A45" t="s">
        <v>23</v>
      </c>
      <c r="B45">
        <v>6</v>
      </c>
      <c r="C45">
        <v>2009</v>
      </c>
      <c r="D45" t="s">
        <v>15</v>
      </c>
      <c r="E45" t="s">
        <v>25</v>
      </c>
      <c r="F45">
        <v>12</v>
      </c>
      <c r="G45">
        <v>13</v>
      </c>
      <c r="H45">
        <v>6</v>
      </c>
      <c r="I45" t="s">
        <v>346</v>
      </c>
      <c r="J45" t="s">
        <v>35</v>
      </c>
      <c r="K45" t="s">
        <v>38</v>
      </c>
      <c r="L45" t="s">
        <v>180</v>
      </c>
      <c r="M45">
        <v>3.9475763016157983</v>
      </c>
      <c r="N45" s="2" t="s">
        <v>262</v>
      </c>
      <c r="O45" s="2" t="s">
        <v>95</v>
      </c>
      <c r="P45" s="2" t="s">
        <v>262</v>
      </c>
      <c r="Q45" s="2" t="s">
        <v>95</v>
      </c>
      <c r="R45">
        <v>900</v>
      </c>
      <c r="S45" s="2" t="s">
        <v>396</v>
      </c>
      <c r="X45">
        <v>30</v>
      </c>
      <c r="Y45" t="s">
        <v>475</v>
      </c>
      <c r="Z45" t="s">
        <v>38</v>
      </c>
      <c r="AA45" s="2" t="s">
        <v>95</v>
      </c>
      <c r="AB45" s="2" t="s">
        <v>95</v>
      </c>
      <c r="AC45" s="2" t="s">
        <v>95</v>
      </c>
      <c r="AD45" s="2" t="s">
        <v>95</v>
      </c>
      <c r="AE45" s="1" t="s">
        <v>264</v>
      </c>
      <c r="AF45" s="1" t="s">
        <v>259</v>
      </c>
      <c r="AG45" s="1">
        <v>0.49</v>
      </c>
      <c r="AH45" s="1"/>
      <c r="AI45" s="1"/>
      <c r="AJ45" s="1" t="s">
        <v>467</v>
      </c>
      <c r="AK45" s="3" t="s">
        <v>214</v>
      </c>
      <c r="AL45" s="3" t="s">
        <v>343</v>
      </c>
      <c r="AM45" s="3" t="s">
        <v>61</v>
      </c>
      <c r="AN45" s="3" t="s">
        <v>67</v>
      </c>
      <c r="AO45" s="3" t="s">
        <v>64</v>
      </c>
      <c r="AP45" s="3"/>
      <c r="AQ45" s="3" t="s">
        <v>42</v>
      </c>
      <c r="AR45" s="3" t="s">
        <v>217</v>
      </c>
      <c r="AS45" t="s">
        <v>268</v>
      </c>
      <c r="AT45" t="s">
        <v>110</v>
      </c>
      <c r="AU45" t="s">
        <v>269</v>
      </c>
      <c r="AV45">
        <v>25</v>
      </c>
      <c r="AW45" t="s">
        <v>270</v>
      </c>
      <c r="AX45" t="s">
        <v>38</v>
      </c>
      <c r="AY45" t="s">
        <v>463</v>
      </c>
      <c r="AZ45" t="s">
        <v>406</v>
      </c>
      <c r="BA45" t="s">
        <v>244</v>
      </c>
      <c r="BB45" t="s">
        <v>535</v>
      </c>
      <c r="BC45" t="s">
        <v>264</v>
      </c>
    </row>
    <row r="46" spans="1:55" x14ac:dyDescent="0.2">
      <c r="A46" t="s">
        <v>70</v>
      </c>
      <c r="B46">
        <v>7</v>
      </c>
      <c r="C46">
        <v>2017</v>
      </c>
      <c r="D46" t="s">
        <v>99</v>
      </c>
      <c r="E46" t="s">
        <v>71</v>
      </c>
      <c r="F46">
        <v>26</v>
      </c>
      <c r="G46">
        <v>30</v>
      </c>
      <c r="H46">
        <v>3</v>
      </c>
      <c r="I46" t="s">
        <v>345</v>
      </c>
      <c r="J46" t="s">
        <v>38</v>
      </c>
      <c r="K46" t="s">
        <v>104</v>
      </c>
      <c r="L46" t="s">
        <v>105</v>
      </c>
      <c r="M46">
        <f>((N46*G46)+(P46*F46))/(G46+F46)</f>
        <v>2.8138928571428572</v>
      </c>
      <c r="N46" s="2">
        <v>3.0529999999999999</v>
      </c>
      <c r="O46" s="2">
        <v>2.6760000000000002</v>
      </c>
      <c r="P46" s="2">
        <v>2.5379999999999998</v>
      </c>
      <c r="Q46" s="2">
        <f>P46*O46/N46</f>
        <v>2.2245948247625287</v>
      </c>
      <c r="R46">
        <v>395</v>
      </c>
      <c r="S46" s="16" t="s">
        <v>449</v>
      </c>
      <c r="V46" s="2">
        <v>13</v>
      </c>
      <c r="W46" s="2"/>
      <c r="X46">
        <v>40</v>
      </c>
      <c r="Y46" t="s">
        <v>475</v>
      </c>
      <c r="Z46" t="s">
        <v>104</v>
      </c>
      <c r="AA46" s="2">
        <v>0.1983</v>
      </c>
      <c r="AB46" s="2">
        <f>AA46*O46/N46</f>
        <v>0.17381290533901084</v>
      </c>
      <c r="AC46" s="2">
        <v>2.4620000000000002</v>
      </c>
      <c r="AD46" s="2">
        <f>AC46*O46/N46</f>
        <v>2.1579796921061254</v>
      </c>
      <c r="AE46" s="1">
        <v>-2.8546999999999998</v>
      </c>
      <c r="AF46" s="1">
        <f>SQRT((AD46^2)/F46 + (AB46^2)/G46)</f>
        <v>0.42440270943318098</v>
      </c>
      <c r="AG46" s="1">
        <f>_xlfn.T.DIST.2T(ABS(AE46/AF46), F46+G46-2)</f>
        <v>1.1456470034002716E-8</v>
      </c>
      <c r="AH46" s="1"/>
      <c r="AI46" s="1"/>
      <c r="AJ46" s="1" t="s">
        <v>423</v>
      </c>
      <c r="AK46" s="3" t="s">
        <v>107</v>
      </c>
      <c r="AL46" s="3" t="s">
        <v>343</v>
      </c>
      <c r="AM46" s="3" t="s">
        <v>297</v>
      </c>
      <c r="AN46" s="3" t="s">
        <v>78</v>
      </c>
      <c r="AO46" s="3" t="s">
        <v>51</v>
      </c>
      <c r="AP46" s="3" t="s">
        <v>53</v>
      </c>
      <c r="AQ46" s="3" t="s">
        <v>96</v>
      </c>
      <c r="AR46" s="3" t="s">
        <v>109</v>
      </c>
      <c r="AS46" t="s">
        <v>98</v>
      </c>
      <c r="AT46" t="s">
        <v>110</v>
      </c>
      <c r="AU46" t="s">
        <v>101</v>
      </c>
      <c r="AV46">
        <v>82</v>
      </c>
      <c r="AW46">
        <v>9.7000000000000003E-2</v>
      </c>
      <c r="AY46" t="s">
        <v>464</v>
      </c>
      <c r="BC46">
        <v>-2.8546999999999998</v>
      </c>
    </row>
    <row r="47" spans="1:55" x14ac:dyDescent="0.2">
      <c r="A47" t="s">
        <v>72</v>
      </c>
      <c r="B47">
        <v>8</v>
      </c>
      <c r="C47">
        <v>2006</v>
      </c>
      <c r="D47" t="s">
        <v>15</v>
      </c>
      <c r="E47" t="s">
        <v>25</v>
      </c>
      <c r="F47">
        <v>335</v>
      </c>
      <c r="G47">
        <v>334</v>
      </c>
      <c r="H47">
        <v>3.75</v>
      </c>
      <c r="I47" t="s">
        <v>346</v>
      </c>
      <c r="J47" t="s">
        <v>271</v>
      </c>
      <c r="K47" s="2" t="s">
        <v>484</v>
      </c>
      <c r="L47" s="2" t="s">
        <v>484</v>
      </c>
      <c r="M47" s="2" t="s">
        <v>484</v>
      </c>
      <c r="N47" s="2" t="s">
        <v>484</v>
      </c>
      <c r="O47" s="2"/>
      <c r="P47" s="2"/>
      <c r="Q47" s="2"/>
      <c r="AA47" s="2"/>
      <c r="AB47" s="2"/>
      <c r="AC47" s="2"/>
      <c r="AD47" s="2"/>
      <c r="AE47" s="1" t="s">
        <v>325</v>
      </c>
      <c r="AF47" s="1" t="s">
        <v>276</v>
      </c>
      <c r="AG47" s="1" t="s">
        <v>92</v>
      </c>
      <c r="AH47" s="1"/>
      <c r="AI47" s="1"/>
      <c r="AJ47" s="1" t="s">
        <v>322</v>
      </c>
      <c r="AK47" s="3" t="s">
        <v>276</v>
      </c>
      <c r="AL47" s="3" t="s">
        <v>343</v>
      </c>
      <c r="AM47" s="3" t="s">
        <v>272</v>
      </c>
      <c r="AN47" s="3" t="s">
        <v>273</v>
      </c>
      <c r="AO47" s="3" t="s">
        <v>274</v>
      </c>
      <c r="AP47" s="3" t="s">
        <v>53</v>
      </c>
      <c r="AQ47" s="3" t="s">
        <v>275</v>
      </c>
      <c r="AR47" s="3" t="s">
        <v>276</v>
      </c>
      <c r="AS47" t="s">
        <v>276</v>
      </c>
      <c r="AT47" t="s">
        <v>276</v>
      </c>
      <c r="AU47" t="s">
        <v>276</v>
      </c>
      <c r="AW47" t="s">
        <v>276</v>
      </c>
      <c r="AX47" t="s">
        <v>276</v>
      </c>
      <c r="AY47" t="s">
        <v>276</v>
      </c>
      <c r="BA47" t="s">
        <v>372</v>
      </c>
      <c r="BC47" t="s">
        <v>325</v>
      </c>
    </row>
    <row r="48" spans="1:55" x14ac:dyDescent="0.2">
      <c r="A48" t="s">
        <v>72</v>
      </c>
      <c r="B48">
        <v>8</v>
      </c>
      <c r="C48">
        <v>2006</v>
      </c>
      <c r="D48" t="s">
        <v>15</v>
      </c>
      <c r="E48" t="s">
        <v>25</v>
      </c>
      <c r="F48">
        <v>335</v>
      </c>
      <c r="G48">
        <v>334</v>
      </c>
      <c r="H48">
        <v>2.5</v>
      </c>
      <c r="I48" t="s">
        <v>346</v>
      </c>
      <c r="J48" t="s">
        <v>271</v>
      </c>
      <c r="K48" s="2" t="s">
        <v>484</v>
      </c>
      <c r="L48" s="2" t="s">
        <v>484</v>
      </c>
      <c r="M48" s="2" t="s">
        <v>484</v>
      </c>
      <c r="N48" s="2" t="s">
        <v>484</v>
      </c>
      <c r="O48" s="2"/>
      <c r="P48" s="2"/>
      <c r="Q48" s="2"/>
      <c r="AA48" s="2"/>
      <c r="AB48" s="2"/>
      <c r="AC48" s="2"/>
      <c r="AD48" s="2"/>
      <c r="AE48" s="1" t="s">
        <v>326</v>
      </c>
      <c r="AF48" s="1" t="s">
        <v>276</v>
      </c>
      <c r="AG48" s="1" t="s">
        <v>92</v>
      </c>
      <c r="AH48" s="1"/>
      <c r="AI48" s="1"/>
      <c r="AJ48" s="1" t="s">
        <v>322</v>
      </c>
      <c r="AK48" s="3" t="s">
        <v>276</v>
      </c>
      <c r="AL48" s="3" t="s">
        <v>343</v>
      </c>
      <c r="AM48" s="3" t="s">
        <v>272</v>
      </c>
      <c r="AN48" s="3" t="s">
        <v>273</v>
      </c>
      <c r="AO48" s="3" t="s">
        <v>278</v>
      </c>
      <c r="AP48" s="3" t="s">
        <v>53</v>
      </c>
      <c r="AQ48" s="3" t="s">
        <v>275</v>
      </c>
      <c r="AR48" s="3" t="s">
        <v>276</v>
      </c>
      <c r="AS48" t="s">
        <v>276</v>
      </c>
      <c r="AT48" t="s">
        <v>276</v>
      </c>
      <c r="AU48" t="s">
        <v>276</v>
      </c>
      <c r="AW48" t="s">
        <v>276</v>
      </c>
      <c r="AX48" t="s">
        <v>276</v>
      </c>
      <c r="AY48" t="s">
        <v>276</v>
      </c>
      <c r="BA48" t="s">
        <v>278</v>
      </c>
      <c r="BC48" t="s">
        <v>326</v>
      </c>
    </row>
    <row r="49" spans="1:55" x14ac:dyDescent="0.2">
      <c r="A49" t="s">
        <v>72</v>
      </c>
      <c r="B49">
        <v>8</v>
      </c>
      <c r="C49">
        <v>2006</v>
      </c>
      <c r="D49" t="s">
        <v>15</v>
      </c>
      <c r="E49" t="s">
        <v>25</v>
      </c>
      <c r="F49">
        <v>335</v>
      </c>
      <c r="G49">
        <v>334</v>
      </c>
      <c r="H49">
        <v>5</v>
      </c>
      <c r="I49" t="s">
        <v>346</v>
      </c>
      <c r="J49" t="s">
        <v>271</v>
      </c>
      <c r="K49" s="2" t="s">
        <v>484</v>
      </c>
      <c r="L49" s="2" t="s">
        <v>484</v>
      </c>
      <c r="M49" s="2" t="s">
        <v>484</v>
      </c>
      <c r="N49" s="2" t="s">
        <v>484</v>
      </c>
      <c r="O49" s="2"/>
      <c r="P49" s="2"/>
      <c r="Q49" s="2"/>
      <c r="AA49" s="2"/>
      <c r="AB49" s="2"/>
      <c r="AC49" s="2"/>
      <c r="AD49" s="2"/>
      <c r="AE49" s="1" t="s">
        <v>327</v>
      </c>
      <c r="AF49" s="1" t="s">
        <v>276</v>
      </c>
      <c r="AG49" s="1" t="s">
        <v>92</v>
      </c>
      <c r="AH49" s="1"/>
      <c r="AI49" s="1"/>
      <c r="AJ49" s="1" t="s">
        <v>322</v>
      </c>
      <c r="AK49" s="3" t="s">
        <v>276</v>
      </c>
      <c r="AL49" s="3" t="s">
        <v>343</v>
      </c>
      <c r="AM49" s="3" t="s">
        <v>272</v>
      </c>
      <c r="AN49" s="3" t="s">
        <v>273</v>
      </c>
      <c r="AO49" s="3" t="s">
        <v>277</v>
      </c>
      <c r="AP49" s="3" t="s">
        <v>53</v>
      </c>
      <c r="AQ49" s="3" t="s">
        <v>275</v>
      </c>
      <c r="AR49" s="3" t="s">
        <v>276</v>
      </c>
      <c r="AS49" t="s">
        <v>276</v>
      </c>
      <c r="AT49" t="s">
        <v>276</v>
      </c>
      <c r="AU49" t="s">
        <v>276</v>
      </c>
      <c r="AW49" t="s">
        <v>276</v>
      </c>
      <c r="AX49" t="s">
        <v>276</v>
      </c>
      <c r="AY49" t="s">
        <v>276</v>
      </c>
      <c r="BA49" t="s">
        <v>277</v>
      </c>
      <c r="BC49" t="s">
        <v>327</v>
      </c>
    </row>
    <row r="50" spans="1:55" x14ac:dyDescent="0.2">
      <c r="A50" t="s">
        <v>106</v>
      </c>
      <c r="B50">
        <v>9</v>
      </c>
      <c r="C50">
        <v>2020</v>
      </c>
      <c r="D50" t="s">
        <v>99</v>
      </c>
      <c r="E50" t="s">
        <v>71</v>
      </c>
      <c r="F50">
        <v>25</v>
      </c>
      <c r="G50">
        <v>32</v>
      </c>
      <c r="H50">
        <v>3</v>
      </c>
      <c r="I50" t="s">
        <v>345</v>
      </c>
      <c r="J50" t="s">
        <v>38</v>
      </c>
      <c r="K50" t="s">
        <v>79</v>
      </c>
      <c r="L50" t="s">
        <v>103</v>
      </c>
      <c r="M50">
        <f>((2.1*32)+(2.04*25))/(32+25)</f>
        <v>2.073684210526316</v>
      </c>
      <c r="N50" s="2" t="s">
        <v>80</v>
      </c>
      <c r="O50" s="2" t="s">
        <v>84</v>
      </c>
      <c r="P50" s="2" t="s">
        <v>83</v>
      </c>
      <c r="Q50" s="2" t="s">
        <v>85</v>
      </c>
      <c r="R50">
        <v>395</v>
      </c>
      <c r="S50" s="16" t="s">
        <v>449</v>
      </c>
      <c r="V50">
        <v>13</v>
      </c>
      <c r="X50">
        <v>40</v>
      </c>
      <c r="Y50" t="s">
        <v>475</v>
      </c>
      <c r="Z50" t="s">
        <v>79</v>
      </c>
      <c r="AA50" s="2" t="s">
        <v>421</v>
      </c>
      <c r="AB50" s="2" t="s">
        <v>422</v>
      </c>
      <c r="AC50" s="2">
        <v>2.02</v>
      </c>
      <c r="AD50" s="2" t="s">
        <v>90</v>
      </c>
      <c r="AE50" s="1" t="s">
        <v>418</v>
      </c>
      <c r="AF50" s="1" t="s">
        <v>420</v>
      </c>
      <c r="AG50" s="1" t="s">
        <v>420</v>
      </c>
      <c r="AH50" s="1"/>
      <c r="AI50" s="1"/>
      <c r="AJ50" s="1" t="s">
        <v>419</v>
      </c>
      <c r="AK50" s="3" t="s">
        <v>94</v>
      </c>
      <c r="AL50" s="3" t="s">
        <v>343</v>
      </c>
      <c r="AM50" s="3" t="s">
        <v>108</v>
      </c>
      <c r="AN50" s="3" t="s">
        <v>78</v>
      </c>
      <c r="AO50" s="3" t="s">
        <v>51</v>
      </c>
      <c r="AP50" s="3" t="s">
        <v>53</v>
      </c>
      <c r="AQ50" s="3" t="s">
        <v>96</v>
      </c>
      <c r="AR50" s="3" t="s">
        <v>97</v>
      </c>
      <c r="AS50" t="s">
        <v>98</v>
      </c>
      <c r="AT50" t="s">
        <v>100</v>
      </c>
      <c r="AU50" t="s">
        <v>101</v>
      </c>
      <c r="AV50">
        <v>80</v>
      </c>
      <c r="AW50" t="s">
        <v>102</v>
      </c>
      <c r="AY50" t="s">
        <v>465</v>
      </c>
      <c r="BC50" t="s">
        <v>418</v>
      </c>
    </row>
    <row r="51" spans="1:55" x14ac:dyDescent="0.2">
      <c r="A51" t="s">
        <v>74</v>
      </c>
      <c r="B51">
        <v>10</v>
      </c>
      <c r="C51">
        <v>2015</v>
      </c>
      <c r="D51" t="s">
        <v>15</v>
      </c>
      <c r="E51" t="s">
        <v>71</v>
      </c>
      <c r="F51">
        <v>102</v>
      </c>
      <c r="G51">
        <v>92</v>
      </c>
      <c r="H51">
        <v>3</v>
      </c>
      <c r="I51" t="s">
        <v>345</v>
      </c>
      <c r="J51" t="s">
        <v>38</v>
      </c>
      <c r="K51" t="s">
        <v>284</v>
      </c>
      <c r="L51" t="s">
        <v>285</v>
      </c>
      <c r="M51">
        <f>((N51*G51)+(P51*F51))/(G51+F51)</f>
        <v>14.221649484536082</v>
      </c>
      <c r="N51" s="2">
        <v>14.8</v>
      </c>
      <c r="O51" s="2">
        <v>7.5</v>
      </c>
      <c r="P51" s="2">
        <v>13.7</v>
      </c>
      <c r="Q51" s="2">
        <v>7.5</v>
      </c>
      <c r="R51">
        <v>395</v>
      </c>
      <c r="S51" s="16" t="s">
        <v>449</v>
      </c>
      <c r="U51" s="2">
        <v>10</v>
      </c>
      <c r="X51" s="2">
        <v>10</v>
      </c>
      <c r="Y51" t="s">
        <v>477</v>
      </c>
      <c r="Z51" t="s">
        <v>284</v>
      </c>
      <c r="AA51" s="2">
        <v>8.6999999999999993</v>
      </c>
      <c r="AB51" s="2">
        <v>4.5</v>
      </c>
      <c r="AC51" s="2">
        <v>12.1</v>
      </c>
      <c r="AD51" s="2">
        <v>6.8</v>
      </c>
      <c r="AE51" s="1">
        <f>(AA51-N51)-(AC51-P51)</f>
        <v>-4.5000000000000018</v>
      </c>
      <c r="AF51" s="1">
        <f>SQRT((AD51^2)/F51 + (AB51^2)/G51)</f>
        <v>0.8206351375523151</v>
      </c>
      <c r="AG51" s="1">
        <f>_xlfn.T.DIST.2T(ABS(AE51/AF51), F51+G51-2)</f>
        <v>1.3020338011483424E-7</v>
      </c>
      <c r="AH51" s="1"/>
      <c r="AI51" s="1"/>
      <c r="AJ51" s="1" t="s">
        <v>321</v>
      </c>
      <c r="AK51" s="3" t="s">
        <v>294</v>
      </c>
      <c r="AL51" s="3" t="s">
        <v>343</v>
      </c>
      <c r="AM51" s="3" t="s">
        <v>61</v>
      </c>
      <c r="AN51" s="3" t="s">
        <v>292</v>
      </c>
      <c r="AO51" s="3" t="s">
        <v>51</v>
      </c>
      <c r="AP51" s="3" t="s">
        <v>290</v>
      </c>
      <c r="AQ51" s="3" t="s">
        <v>275</v>
      </c>
      <c r="AR51" s="3" t="s">
        <v>291</v>
      </c>
      <c r="AS51" t="s">
        <v>289</v>
      </c>
      <c r="AT51" t="s">
        <v>288</v>
      </c>
      <c r="AU51" t="s">
        <v>287</v>
      </c>
      <c r="AV51">
        <v>80</v>
      </c>
      <c r="AW51" t="s">
        <v>286</v>
      </c>
      <c r="AY51" t="s">
        <v>468</v>
      </c>
      <c r="AZ51" t="s">
        <v>405</v>
      </c>
      <c r="BA51" t="s">
        <v>282</v>
      </c>
      <c r="BB51" t="s">
        <v>282</v>
      </c>
      <c r="BC51">
        <v>-4.5000000000000018</v>
      </c>
    </row>
    <row r="52" spans="1:55" x14ac:dyDescent="0.2">
      <c r="A52" t="s">
        <v>74</v>
      </c>
      <c r="B52">
        <v>10</v>
      </c>
      <c r="C52">
        <v>2015</v>
      </c>
      <c r="D52" t="s">
        <v>15</v>
      </c>
      <c r="E52" t="s">
        <v>71</v>
      </c>
      <c r="F52">
        <v>102</v>
      </c>
      <c r="G52">
        <v>103</v>
      </c>
      <c r="H52">
        <v>3</v>
      </c>
      <c r="I52" t="s">
        <v>345</v>
      </c>
      <c r="J52" t="s">
        <v>38</v>
      </c>
      <c r="K52" t="s">
        <v>284</v>
      </c>
      <c r="L52" t="s">
        <v>285</v>
      </c>
      <c r="M52">
        <f>((N52*G52)+(P52*F52))/(G52+F52)</f>
        <v>13.900975609756097</v>
      </c>
      <c r="N52" s="2">
        <v>14.1</v>
      </c>
      <c r="O52" s="2">
        <v>8.1</v>
      </c>
      <c r="P52" s="2">
        <v>13.7</v>
      </c>
      <c r="Q52" s="2">
        <v>7.5</v>
      </c>
      <c r="R52">
        <v>395</v>
      </c>
      <c r="S52" s="16" t="s">
        <v>449</v>
      </c>
      <c r="U52" s="2">
        <v>10</v>
      </c>
      <c r="X52" s="2">
        <v>10</v>
      </c>
      <c r="Y52" t="s">
        <v>477</v>
      </c>
      <c r="Z52" t="s">
        <v>284</v>
      </c>
      <c r="AA52" s="2">
        <v>7.1</v>
      </c>
      <c r="AB52" s="2">
        <v>2.7</v>
      </c>
      <c r="AC52" s="2">
        <v>12.1</v>
      </c>
      <c r="AD52" s="2">
        <v>6.8</v>
      </c>
      <c r="AE52" s="1">
        <f>(AA52-N52)-(AC52-P52)</f>
        <v>-5.4</v>
      </c>
      <c r="AF52" s="1">
        <f>SQRT((AD52^2)/F52 + (AB52^2)/G52)</f>
        <v>0.7239544408058145</v>
      </c>
      <c r="AG52" s="1">
        <f>_xlfn.T.DIST.2T(ABS(AE52/AF52), F52+G52-2)</f>
        <v>2.4924213980773988E-12</v>
      </c>
      <c r="AH52" s="1"/>
      <c r="AI52" s="1"/>
      <c r="AJ52" s="1" t="s">
        <v>321</v>
      </c>
      <c r="AK52" s="3" t="s">
        <v>294</v>
      </c>
      <c r="AL52" s="3" t="s">
        <v>343</v>
      </c>
      <c r="AM52" s="3" t="s">
        <v>61</v>
      </c>
      <c r="AN52" s="3" t="s">
        <v>293</v>
      </c>
      <c r="AO52" s="3" t="s">
        <v>51</v>
      </c>
      <c r="AP52" s="3" t="s">
        <v>290</v>
      </c>
      <c r="AQ52" s="3" t="s">
        <v>275</v>
      </c>
      <c r="AR52" s="3" t="s">
        <v>291</v>
      </c>
      <c r="AS52" t="s">
        <v>289</v>
      </c>
      <c r="AT52" t="s">
        <v>288</v>
      </c>
      <c r="AU52" t="s">
        <v>287</v>
      </c>
      <c r="AV52">
        <v>80</v>
      </c>
      <c r="AW52" t="s">
        <v>286</v>
      </c>
      <c r="AY52" t="s">
        <v>468</v>
      </c>
      <c r="AZ52" t="s">
        <v>405</v>
      </c>
      <c r="BA52" t="s">
        <v>283</v>
      </c>
      <c r="BB52" t="s">
        <v>283</v>
      </c>
      <c r="BC52">
        <v>-5.4</v>
      </c>
    </row>
    <row r="53" spans="1:55" x14ac:dyDescent="0.2">
      <c r="A53" t="s">
        <v>75</v>
      </c>
      <c r="B53">
        <v>11</v>
      </c>
      <c r="C53">
        <v>2006</v>
      </c>
      <c r="D53" t="s">
        <v>15</v>
      </c>
      <c r="E53" t="s">
        <v>25</v>
      </c>
      <c r="F53">
        <v>128</v>
      </c>
      <c r="G53">
        <v>138</v>
      </c>
      <c r="H53">
        <v>4.5</v>
      </c>
      <c r="I53" t="s">
        <v>345</v>
      </c>
      <c r="J53" t="s">
        <v>38</v>
      </c>
      <c r="K53" t="s">
        <v>295</v>
      </c>
      <c r="L53" t="s">
        <v>105</v>
      </c>
      <c r="M53" s="2">
        <v>11.5</v>
      </c>
      <c r="N53" s="2">
        <v>12.7</v>
      </c>
      <c r="O53" s="2">
        <v>7.3</v>
      </c>
      <c r="P53" s="2">
        <v>10.8</v>
      </c>
      <c r="Q53" s="2">
        <v>5.5</v>
      </c>
      <c r="T53" s="2">
        <v>21.7</v>
      </c>
      <c r="X53">
        <v>14</v>
      </c>
      <c r="Y53" t="s">
        <v>478</v>
      </c>
      <c r="Z53" t="s">
        <v>295</v>
      </c>
      <c r="AA53" s="2" t="s">
        <v>95</v>
      </c>
      <c r="AB53" s="2" t="s">
        <v>95</v>
      </c>
      <c r="AC53" s="2" t="s">
        <v>95</v>
      </c>
      <c r="AD53" s="2" t="s">
        <v>95</v>
      </c>
      <c r="AE53" s="1">
        <v>-0.3</v>
      </c>
      <c r="AF53" s="1" t="s">
        <v>332</v>
      </c>
      <c r="AG53" s="1" t="s">
        <v>311</v>
      </c>
      <c r="AH53" s="1">
        <v>-0.6</v>
      </c>
      <c r="AI53" s="1">
        <v>0</v>
      </c>
      <c r="AJ53" s="1" t="s">
        <v>323</v>
      </c>
      <c r="AK53" s="3" t="s">
        <v>300</v>
      </c>
      <c r="AL53" s="3" t="s">
        <v>48</v>
      </c>
      <c r="AM53" s="3" t="s">
        <v>307</v>
      </c>
      <c r="AN53" s="3" t="s">
        <v>308</v>
      </c>
      <c r="AO53" s="3" t="s">
        <v>16</v>
      </c>
      <c r="AP53" s="3" t="s">
        <v>298</v>
      </c>
      <c r="AQ53" s="3" t="s">
        <v>275</v>
      </c>
      <c r="AR53" s="3" t="s">
        <v>109</v>
      </c>
      <c r="AS53" t="s">
        <v>303</v>
      </c>
      <c r="AT53" t="s">
        <v>110</v>
      </c>
      <c r="AU53" t="s">
        <v>299</v>
      </c>
      <c r="AV53">
        <v>90</v>
      </c>
      <c r="AX53" t="s">
        <v>302</v>
      </c>
      <c r="AY53" t="s">
        <v>469</v>
      </c>
      <c r="AZ53" t="s">
        <v>405</v>
      </c>
      <c r="BA53" t="s">
        <v>301</v>
      </c>
      <c r="BC53">
        <v>-0.3</v>
      </c>
    </row>
    <row r="54" spans="1:55" ht="17" customHeight="1" x14ac:dyDescent="0.2">
      <c r="A54" t="s">
        <v>75</v>
      </c>
      <c r="B54">
        <v>11</v>
      </c>
      <c r="C54">
        <v>2006</v>
      </c>
      <c r="D54" t="s">
        <v>15</v>
      </c>
      <c r="E54" t="s">
        <v>25</v>
      </c>
      <c r="F54">
        <v>128</v>
      </c>
      <c r="G54">
        <v>122</v>
      </c>
      <c r="H54">
        <v>4.5</v>
      </c>
      <c r="I54" t="s">
        <v>345</v>
      </c>
      <c r="J54" t="s">
        <v>38</v>
      </c>
      <c r="K54" t="s">
        <v>295</v>
      </c>
      <c r="L54" t="s">
        <v>105</v>
      </c>
      <c r="M54" s="2">
        <v>11.5</v>
      </c>
      <c r="N54" s="2">
        <v>10.9</v>
      </c>
      <c r="O54" s="2">
        <v>5.5</v>
      </c>
      <c r="P54" s="2">
        <v>10.8</v>
      </c>
      <c r="Q54" s="2">
        <v>5.5</v>
      </c>
      <c r="T54" s="2">
        <v>21.7</v>
      </c>
      <c r="X54">
        <v>14</v>
      </c>
      <c r="Y54" t="s">
        <v>478</v>
      </c>
      <c r="Z54" t="s">
        <v>295</v>
      </c>
      <c r="AA54" s="2" t="s">
        <v>95</v>
      </c>
      <c r="AB54" s="2" t="s">
        <v>95</v>
      </c>
      <c r="AC54" s="2" t="s">
        <v>95</v>
      </c>
      <c r="AD54" s="2" t="s">
        <v>95</v>
      </c>
      <c r="AE54" s="1">
        <v>0.1</v>
      </c>
      <c r="AF54" s="1" t="s">
        <v>333</v>
      </c>
      <c r="AG54" s="1" t="s">
        <v>310</v>
      </c>
      <c r="AH54" s="1">
        <v>-0.2</v>
      </c>
      <c r="AI54" s="1">
        <v>0.3</v>
      </c>
      <c r="AJ54" s="1" t="s">
        <v>323</v>
      </c>
      <c r="AK54" s="3" t="s">
        <v>300</v>
      </c>
      <c r="AL54" s="3" t="s">
        <v>296</v>
      </c>
      <c r="AM54" s="3" t="s">
        <v>296</v>
      </c>
      <c r="AN54" s="3" t="s">
        <v>55</v>
      </c>
      <c r="AO54" s="3" t="s">
        <v>16</v>
      </c>
      <c r="AP54" s="3" t="s">
        <v>298</v>
      </c>
      <c r="AQ54" s="3" t="s">
        <v>275</v>
      </c>
      <c r="AR54" s="3" t="s">
        <v>109</v>
      </c>
      <c r="AS54" t="s">
        <v>303</v>
      </c>
      <c r="AT54" t="s">
        <v>110</v>
      </c>
      <c r="AU54" t="s">
        <v>299</v>
      </c>
      <c r="AV54">
        <v>90</v>
      </c>
      <c r="AX54" t="s">
        <v>302</v>
      </c>
      <c r="AY54" t="s">
        <v>469</v>
      </c>
      <c r="AZ54" t="s">
        <v>405</v>
      </c>
      <c r="BA54" t="s">
        <v>301</v>
      </c>
      <c r="BC54">
        <v>0.1</v>
      </c>
    </row>
    <row r="55" spans="1:55" ht="51" x14ac:dyDescent="0.2">
      <c r="A55" t="s">
        <v>24</v>
      </c>
      <c r="B55">
        <v>12</v>
      </c>
      <c r="C55">
        <v>2011</v>
      </c>
      <c r="D55" t="s">
        <v>348</v>
      </c>
      <c r="E55" t="s">
        <v>29</v>
      </c>
      <c r="F55">
        <v>117</v>
      </c>
      <c r="G55">
        <v>103</v>
      </c>
      <c r="H55">
        <v>15</v>
      </c>
      <c r="I55" t="s">
        <v>345</v>
      </c>
      <c r="J55" t="s">
        <v>38</v>
      </c>
      <c r="K55" t="s">
        <v>32</v>
      </c>
      <c r="L55">
        <f>((52*103)+(62*117))/(103+117)</f>
        <v>57.31818181818182</v>
      </c>
      <c r="M55">
        <f t="shared" ref="M55:M61" si="10">((N55*G55)+(P55*F55))/(G55+F55)</f>
        <v>10.13409090909091</v>
      </c>
      <c r="N55" s="8">
        <v>10.4</v>
      </c>
      <c r="O55" s="8">
        <v>6.7</v>
      </c>
      <c r="P55" s="8">
        <v>9.9</v>
      </c>
      <c r="Q55" s="8">
        <v>6.3</v>
      </c>
      <c r="R55">
        <v>200</v>
      </c>
      <c r="S55" s="21" t="s">
        <v>453</v>
      </c>
      <c r="X55">
        <v>75</v>
      </c>
      <c r="Y55" t="s">
        <v>475</v>
      </c>
      <c r="Z55" t="s">
        <v>32</v>
      </c>
      <c r="AA55" s="8">
        <v>6.4</v>
      </c>
      <c r="AB55" s="8">
        <v>4.8</v>
      </c>
      <c r="AC55" s="8">
        <v>7.5</v>
      </c>
      <c r="AD55" s="8">
        <v>4.5999999999999996</v>
      </c>
      <c r="AE55" s="9">
        <f>(AA55-N55)-(AC55-P55)</f>
        <v>-1.5999999999999996</v>
      </c>
      <c r="AF55" s="9">
        <f>SQRT((AD55^2)/F55 + (AB55^2)/G55)</f>
        <v>0.63603775142915087</v>
      </c>
      <c r="AG55" s="9">
        <f>_xlfn.T.DIST.2T(ABS(AE55/AF55), F55+G55-2)</f>
        <v>1.2604795045889905E-2</v>
      </c>
      <c r="AH55" s="9"/>
      <c r="AI55" s="9"/>
      <c r="AJ55" s="9" t="s">
        <v>350</v>
      </c>
      <c r="AK55" t="s">
        <v>351</v>
      </c>
      <c r="AL55" s="10" t="s">
        <v>343</v>
      </c>
      <c r="AM55" s="10" t="s">
        <v>65</v>
      </c>
      <c r="AN55" s="10" t="s">
        <v>68</v>
      </c>
      <c r="AO55" s="10" t="s">
        <v>52</v>
      </c>
      <c r="AP55" s="10" t="s">
        <v>69</v>
      </c>
      <c r="AQ55" s="10" t="s">
        <v>45</v>
      </c>
      <c r="AR55" s="10" t="s">
        <v>352</v>
      </c>
      <c r="AS55" t="s">
        <v>354</v>
      </c>
      <c r="AT55" s="11" t="s">
        <v>355</v>
      </c>
      <c r="AU55" s="11" t="s">
        <v>356</v>
      </c>
      <c r="AV55">
        <v>60</v>
      </c>
      <c r="AW55" t="s">
        <v>349</v>
      </c>
      <c r="AX55" t="s">
        <v>409</v>
      </c>
      <c r="AY55" t="s">
        <v>471</v>
      </c>
      <c r="AZ55" s="13" t="s">
        <v>404</v>
      </c>
      <c r="BA55" s="13" t="s">
        <v>359</v>
      </c>
      <c r="BB55" s="13" t="s">
        <v>511</v>
      </c>
      <c r="BC55">
        <v>-1.5999999999999996</v>
      </c>
    </row>
    <row r="56" spans="1:55" x14ac:dyDescent="0.2">
      <c r="A56" t="s">
        <v>24</v>
      </c>
      <c r="B56">
        <v>12</v>
      </c>
      <c r="C56">
        <v>2011</v>
      </c>
      <c r="D56" t="s">
        <v>348</v>
      </c>
      <c r="E56" t="s">
        <v>29</v>
      </c>
      <c r="F56">
        <v>117</v>
      </c>
      <c r="G56">
        <v>138</v>
      </c>
      <c r="H56">
        <v>15</v>
      </c>
      <c r="I56" t="s">
        <v>345</v>
      </c>
      <c r="J56" t="s">
        <v>38</v>
      </c>
      <c r="K56" t="s">
        <v>32</v>
      </c>
      <c r="L56">
        <f>((70*138)+(62*117))/(138+117)</f>
        <v>66.329411764705881</v>
      </c>
      <c r="M56">
        <f t="shared" si="10"/>
        <v>11.361176470588235</v>
      </c>
      <c r="N56" s="8">
        <v>12.6</v>
      </c>
      <c r="O56" s="8">
        <v>9.3000000000000007</v>
      </c>
      <c r="P56" s="8">
        <v>9.9</v>
      </c>
      <c r="Q56" s="8">
        <v>6.3</v>
      </c>
      <c r="R56">
        <v>200</v>
      </c>
      <c r="S56" s="8" t="s">
        <v>454</v>
      </c>
      <c r="X56">
        <v>75</v>
      </c>
      <c r="Y56" t="s">
        <v>475</v>
      </c>
      <c r="Z56" t="s">
        <v>32</v>
      </c>
      <c r="AA56" s="8">
        <v>9.8000000000000007</v>
      </c>
      <c r="AB56" s="8">
        <v>7.9</v>
      </c>
      <c r="AC56" s="8">
        <v>7.5</v>
      </c>
      <c r="AD56" s="8">
        <v>4.5999999999999996</v>
      </c>
      <c r="AE56" s="9">
        <f>(AA56-N56)-(AC56-P56)</f>
        <v>-0.39999999999999858</v>
      </c>
      <c r="AF56" s="9">
        <f>SQRT((AD56^2)/F56 + (AB56^2)/G56)</f>
        <v>0.79567649058288448</v>
      </c>
      <c r="AG56" s="9">
        <f>_xlfn.T.DIST.2T(ABS(AE56/AF56), F56+G56-2)</f>
        <v>0.61560065621605653</v>
      </c>
      <c r="AH56" s="9"/>
      <c r="AI56" s="9"/>
      <c r="AJ56" s="9" t="s">
        <v>350</v>
      </c>
      <c r="AK56" t="s">
        <v>351</v>
      </c>
      <c r="AL56" s="10" t="s">
        <v>343</v>
      </c>
      <c r="AM56" s="10" t="s">
        <v>61</v>
      </c>
      <c r="AN56" s="10" t="s">
        <v>66</v>
      </c>
      <c r="AO56" s="10" t="s">
        <v>52</v>
      </c>
      <c r="AP56" s="10" t="s">
        <v>52</v>
      </c>
      <c r="AQ56" s="10" t="s">
        <v>45</v>
      </c>
      <c r="AR56" s="10" t="s">
        <v>353</v>
      </c>
      <c r="AS56" t="s">
        <v>354</v>
      </c>
      <c r="AT56" s="11" t="s">
        <v>355</v>
      </c>
      <c r="AU56" s="11" t="s">
        <v>356</v>
      </c>
      <c r="AV56">
        <v>60</v>
      </c>
      <c r="AW56" t="s">
        <v>349</v>
      </c>
      <c r="AX56" t="s">
        <v>410</v>
      </c>
      <c r="AY56" t="s">
        <v>471</v>
      </c>
      <c r="AZ56" s="13" t="s">
        <v>357</v>
      </c>
      <c r="BA56" s="13" t="s">
        <v>358</v>
      </c>
      <c r="BB56" s="13" t="s">
        <v>510</v>
      </c>
      <c r="BC56">
        <v>-0.39999999999999858</v>
      </c>
    </row>
    <row r="57" spans="1:55" x14ac:dyDescent="0.2">
      <c r="A57" t="s">
        <v>375</v>
      </c>
      <c r="B57">
        <v>13</v>
      </c>
      <c r="C57">
        <v>2016</v>
      </c>
      <c r="D57" t="s">
        <v>15</v>
      </c>
      <c r="E57" t="s">
        <v>374</v>
      </c>
      <c r="F57">
        <v>102</v>
      </c>
      <c r="G57">
        <v>99</v>
      </c>
      <c r="H57">
        <v>6.4</v>
      </c>
      <c r="I57" t="s">
        <v>345</v>
      </c>
      <c r="J57" t="s">
        <v>38</v>
      </c>
      <c r="K57" t="s">
        <v>377</v>
      </c>
      <c r="L57">
        <v>40</v>
      </c>
      <c r="M57">
        <f t="shared" si="10"/>
        <v>4.0644776119402986</v>
      </c>
      <c r="N57" s="2">
        <v>4.0999999999999996</v>
      </c>
      <c r="O57" s="2">
        <v>1.4038853686257999</v>
      </c>
      <c r="P57" s="2">
        <v>4.03</v>
      </c>
      <c r="Q57" s="2">
        <v>1.3491591373418921</v>
      </c>
      <c r="T57" s="2">
        <v>32</v>
      </c>
      <c r="U57" s="12">
        <v>21</v>
      </c>
      <c r="V57" s="2">
        <v>11.5</v>
      </c>
      <c r="W57" s="2">
        <v>17</v>
      </c>
      <c r="X57" s="12">
        <v>21</v>
      </c>
      <c r="Y57" t="s">
        <v>479</v>
      </c>
      <c r="Z57" t="s">
        <v>377</v>
      </c>
      <c r="AA57" s="2">
        <v>3.3</v>
      </c>
      <c r="AB57" s="2">
        <v>0.92756711855633145</v>
      </c>
      <c r="AC57" s="2">
        <v>3.66</v>
      </c>
      <c r="AD57" s="2">
        <v>0.99277747842139197</v>
      </c>
      <c r="AE57" s="9">
        <f>(AA57-N57)-(AC57-P57)</f>
        <v>-0.42999999999999972</v>
      </c>
      <c r="AF57" s="9">
        <f>SQRT(((AD57^2)/F57+(AB57^2)/G57)-2*0.5*((AD57/SQRT(F57)-AB57/SQRT(G57))))</f>
        <v>0.11522983379225261</v>
      </c>
      <c r="AG57" s="9">
        <f>_xlfn.T.DIST.2T(ABS(AE57/AF57), F57+G57-2)</f>
        <v>2.4813853643912702E-4</v>
      </c>
      <c r="AH57" s="1"/>
      <c r="AI57" s="1"/>
      <c r="AJ57" s="1" t="s">
        <v>427</v>
      </c>
      <c r="AK57" s="3" t="s">
        <v>382</v>
      </c>
      <c r="AL57" s="3" t="s">
        <v>46</v>
      </c>
      <c r="AM57" s="3" t="s">
        <v>384</v>
      </c>
      <c r="AN57" s="3" t="s">
        <v>412</v>
      </c>
      <c r="AO57" t="s">
        <v>389</v>
      </c>
      <c r="AP57" s="3" t="s">
        <v>390</v>
      </c>
      <c r="AQ57" s="3" t="s">
        <v>275</v>
      </c>
      <c r="AR57" s="3" t="s">
        <v>109</v>
      </c>
      <c r="AS57" s="14" t="s">
        <v>391</v>
      </c>
      <c r="AT57" s="14" t="s">
        <v>110</v>
      </c>
      <c r="AU57" s="14" t="s">
        <v>392</v>
      </c>
      <c r="AV57">
        <v>97</v>
      </c>
      <c r="AW57" s="15" t="s">
        <v>393</v>
      </c>
      <c r="AX57" t="s">
        <v>411</v>
      </c>
      <c r="AY57" t="s">
        <v>376</v>
      </c>
      <c r="AZ57" s="13" t="s">
        <v>376</v>
      </c>
      <c r="BA57" s="13" t="s">
        <v>431</v>
      </c>
      <c r="BB57" t="s">
        <v>512</v>
      </c>
      <c r="BC57">
        <v>-0.42999999999999972</v>
      </c>
    </row>
    <row r="58" spans="1:55" x14ac:dyDescent="0.2">
      <c r="A58" t="s">
        <v>375</v>
      </c>
      <c r="B58">
        <v>13</v>
      </c>
      <c r="C58">
        <v>2016</v>
      </c>
      <c r="D58" t="s">
        <v>15</v>
      </c>
      <c r="E58" t="s">
        <v>374</v>
      </c>
      <c r="F58">
        <v>102</v>
      </c>
      <c r="G58">
        <v>103</v>
      </c>
      <c r="H58">
        <v>6.4</v>
      </c>
      <c r="I58" t="s">
        <v>345</v>
      </c>
      <c r="J58" t="s">
        <v>38</v>
      </c>
      <c r="K58" t="s">
        <v>377</v>
      </c>
      <c r="L58">
        <v>36</v>
      </c>
      <c r="M58">
        <f t="shared" si="10"/>
        <v>4.281219512195122</v>
      </c>
      <c r="N58" s="2">
        <v>4.53</v>
      </c>
      <c r="O58" s="2">
        <v>1.5350011331681441</v>
      </c>
      <c r="P58" s="2">
        <v>4.03</v>
      </c>
      <c r="Q58" s="2">
        <v>1.3491591373418921</v>
      </c>
      <c r="T58" s="2">
        <v>32</v>
      </c>
      <c r="U58" s="12">
        <v>21</v>
      </c>
      <c r="V58" s="2">
        <v>11.5</v>
      </c>
      <c r="W58" s="2">
        <v>17</v>
      </c>
      <c r="X58" s="12">
        <v>21</v>
      </c>
      <c r="Y58" t="s">
        <v>479</v>
      </c>
      <c r="Z58" t="s">
        <v>377</v>
      </c>
      <c r="AA58" s="2">
        <v>3.29</v>
      </c>
      <c r="AB58" s="2">
        <v>1.0233340887787643</v>
      </c>
      <c r="AC58" s="2">
        <v>3.66</v>
      </c>
      <c r="AD58" s="2">
        <v>0.99277747842139175</v>
      </c>
      <c r="AE58" s="9">
        <f>(AA58-N58)-(AC58-P58)</f>
        <v>-0.87000000000000011</v>
      </c>
      <c r="AF58" s="9">
        <f>SQRT((AD58^2)/F58 + (AB58^2)/G58)</f>
        <v>0.14081877749608424</v>
      </c>
      <c r="AG58" s="9">
        <f>_xlfn.T.DIST.2T(ABS(AE58/AF58), F58+G58-2)</f>
        <v>3.4869802230392039E-9</v>
      </c>
      <c r="AH58" s="1"/>
      <c r="AI58" s="1"/>
      <c r="AJ58" s="1" t="s">
        <v>427</v>
      </c>
      <c r="AK58" s="3" t="s">
        <v>382</v>
      </c>
      <c r="AL58" s="3" t="s">
        <v>378</v>
      </c>
      <c r="AM58" s="3" t="s">
        <v>385</v>
      </c>
      <c r="AN58" s="3" t="s">
        <v>413</v>
      </c>
      <c r="AO58" t="s">
        <v>389</v>
      </c>
      <c r="AP58" s="3" t="s">
        <v>390</v>
      </c>
      <c r="AQ58" s="3" t="s">
        <v>275</v>
      </c>
      <c r="AR58" s="3" t="s">
        <v>109</v>
      </c>
      <c r="AS58" s="14" t="s">
        <v>391</v>
      </c>
      <c r="AT58" s="14" t="s">
        <v>110</v>
      </c>
      <c r="AU58" s="14" t="s">
        <v>392</v>
      </c>
      <c r="AV58">
        <v>97</v>
      </c>
      <c r="AW58" s="15" t="s">
        <v>393</v>
      </c>
      <c r="AX58" t="s">
        <v>411</v>
      </c>
      <c r="AY58" t="s">
        <v>376</v>
      </c>
      <c r="AZ58" s="13"/>
      <c r="BA58" s="13" t="s">
        <v>432</v>
      </c>
      <c r="BB58" t="s">
        <v>513</v>
      </c>
      <c r="BC58">
        <v>-0.87000000000000011</v>
      </c>
    </row>
    <row r="59" spans="1:55" x14ac:dyDescent="0.2">
      <c r="A59" t="s">
        <v>375</v>
      </c>
      <c r="B59">
        <v>13</v>
      </c>
      <c r="C59">
        <v>2016</v>
      </c>
      <c r="D59" t="s">
        <v>15</v>
      </c>
      <c r="E59" t="s">
        <v>374</v>
      </c>
      <c r="F59">
        <v>102</v>
      </c>
      <c r="G59">
        <v>105</v>
      </c>
      <c r="H59">
        <v>6.4</v>
      </c>
      <c r="I59" t="s">
        <v>345</v>
      </c>
      <c r="J59" t="s">
        <v>38</v>
      </c>
      <c r="K59" t="s">
        <v>377</v>
      </c>
      <c r="L59">
        <v>40</v>
      </c>
      <c r="M59">
        <f t="shared" si="10"/>
        <v>4.2227536231884057</v>
      </c>
      <c r="N59" s="2">
        <v>4.41</v>
      </c>
      <c r="O59" s="2">
        <v>1.6793726565739784</v>
      </c>
      <c r="P59" s="2">
        <v>4.03</v>
      </c>
      <c r="Q59" s="2">
        <v>1.3491591373418921</v>
      </c>
      <c r="T59" s="2">
        <v>32</v>
      </c>
      <c r="U59" s="12">
        <v>21</v>
      </c>
      <c r="V59" s="2">
        <v>11.5</v>
      </c>
      <c r="W59" s="2">
        <v>17</v>
      </c>
      <c r="X59" s="12">
        <v>21</v>
      </c>
      <c r="Y59" t="s">
        <v>479</v>
      </c>
      <c r="Z59" t="s">
        <v>377</v>
      </c>
      <c r="AA59" s="2">
        <v>2.87</v>
      </c>
      <c r="AB59" s="2">
        <v>0.852604579491404</v>
      </c>
      <c r="AC59" s="2">
        <v>3.66</v>
      </c>
      <c r="AD59" s="2">
        <v>0.99277747842139175</v>
      </c>
      <c r="AE59" s="9">
        <f>(AA59-N59)-(AC59-P59)</f>
        <v>-1.17</v>
      </c>
      <c r="AF59" s="9">
        <f>SQRT((AD59^2)/F59 + (AB59^2)/G59)</f>
        <v>0.12878665027627145</v>
      </c>
      <c r="AG59" s="9">
        <f>_xlfn.T.DIST.2T(ABS(AE59/AF59), F59+G59-2)</f>
        <v>8.9270746036461709E-17</v>
      </c>
      <c r="AH59" s="1"/>
      <c r="AI59" s="1"/>
      <c r="AJ59" s="1" t="s">
        <v>427</v>
      </c>
      <c r="AK59" s="3" t="s">
        <v>382</v>
      </c>
      <c r="AL59" s="3" t="s">
        <v>383</v>
      </c>
      <c r="AM59" s="3" t="s">
        <v>386</v>
      </c>
      <c r="AN59" s="3" t="s">
        <v>414</v>
      </c>
      <c r="AO59" t="s">
        <v>389</v>
      </c>
      <c r="AP59" s="3" t="s">
        <v>390</v>
      </c>
      <c r="AQ59" s="3" t="s">
        <v>275</v>
      </c>
      <c r="AR59" s="3" t="s">
        <v>109</v>
      </c>
      <c r="AS59" s="14" t="s">
        <v>391</v>
      </c>
      <c r="AT59" s="14" t="s">
        <v>110</v>
      </c>
      <c r="AU59" s="14" t="s">
        <v>392</v>
      </c>
      <c r="AV59">
        <v>97</v>
      </c>
      <c r="AW59" s="15" t="s">
        <v>393</v>
      </c>
      <c r="AX59" t="s">
        <v>411</v>
      </c>
      <c r="AY59" t="s">
        <v>376</v>
      </c>
      <c r="AZ59" s="13"/>
      <c r="BA59" s="13" t="s">
        <v>433</v>
      </c>
      <c r="BC59">
        <v>-1.17</v>
      </c>
    </row>
    <row r="60" spans="1:55" x14ac:dyDescent="0.2">
      <c r="A60" t="s">
        <v>375</v>
      </c>
      <c r="B60">
        <v>13</v>
      </c>
      <c r="C60">
        <v>2016</v>
      </c>
      <c r="D60" t="s">
        <v>15</v>
      </c>
      <c r="E60" t="s">
        <v>374</v>
      </c>
      <c r="F60">
        <v>229</v>
      </c>
      <c r="G60">
        <v>226</v>
      </c>
      <c r="H60">
        <v>6.4</v>
      </c>
      <c r="I60" t="s">
        <v>345</v>
      </c>
      <c r="J60" t="s">
        <v>38</v>
      </c>
      <c r="K60" t="s">
        <v>377</v>
      </c>
      <c r="L60">
        <v>40</v>
      </c>
      <c r="M60">
        <f t="shared" si="10"/>
        <v>4.2675824175824175</v>
      </c>
      <c r="N60" s="2">
        <f>AVERAGE(4.1,4.41)</f>
        <v>4.2549999999999999</v>
      </c>
      <c r="O60" s="2"/>
      <c r="P60" s="2">
        <f>AVERAGE(4.53,4.03)</f>
        <v>4.28</v>
      </c>
      <c r="Q60" s="2"/>
      <c r="T60" s="2">
        <v>32</v>
      </c>
      <c r="U60" s="12">
        <v>21</v>
      </c>
      <c r="V60" s="2">
        <v>11.5</v>
      </c>
      <c r="W60" s="2">
        <v>17</v>
      </c>
      <c r="X60" s="12">
        <v>21</v>
      </c>
      <c r="Y60" t="s">
        <v>479</v>
      </c>
      <c r="Z60" t="s">
        <v>377</v>
      </c>
      <c r="AA60" s="2">
        <f>AVERAGE(3.3,2.87)</f>
        <v>3.085</v>
      </c>
      <c r="AB60" s="2"/>
      <c r="AC60" s="2">
        <f>AVERAGE(3.29,3.66)</f>
        <v>3.4750000000000001</v>
      </c>
      <c r="AD60" s="2"/>
      <c r="AE60" s="1">
        <f>EXP(-0.046) - 1</f>
        <v>-4.4958037809285312E-2</v>
      </c>
      <c r="AF60" s="1" t="s">
        <v>430</v>
      </c>
      <c r="AG60" s="1"/>
      <c r="AH60" s="1">
        <f>EXP(-0.078) - 1</f>
        <v>-7.5035573456460725E-2</v>
      </c>
      <c r="AI60" s="1">
        <f>EXP(-0.013)-1</f>
        <v>-1.2915864979712421E-2</v>
      </c>
      <c r="AJ60" s="1" t="s">
        <v>428</v>
      </c>
      <c r="AK60" s="3" t="s">
        <v>382</v>
      </c>
      <c r="AL60" s="3" t="s">
        <v>46</v>
      </c>
      <c r="AM60" s="3" t="s">
        <v>387</v>
      </c>
      <c r="AN60" s="3" t="s">
        <v>412</v>
      </c>
      <c r="AO60" t="s">
        <v>389</v>
      </c>
      <c r="AP60" s="3" t="s">
        <v>390</v>
      </c>
      <c r="AQ60" s="3" t="s">
        <v>275</v>
      </c>
      <c r="AR60" s="3" t="s">
        <v>109</v>
      </c>
      <c r="AS60" s="14" t="s">
        <v>391</v>
      </c>
      <c r="AT60" s="14" t="s">
        <v>110</v>
      </c>
      <c r="AU60" s="14" t="s">
        <v>392</v>
      </c>
      <c r="AV60">
        <v>97</v>
      </c>
      <c r="AW60" s="15" t="s">
        <v>393</v>
      </c>
      <c r="AX60" t="s">
        <v>411</v>
      </c>
      <c r="AY60" t="s">
        <v>376</v>
      </c>
      <c r="AZ60" s="13"/>
      <c r="BA60" s="13" t="s">
        <v>434</v>
      </c>
      <c r="BB60" t="s">
        <v>514</v>
      </c>
      <c r="BC60">
        <v>-4.4958037809285312E-2</v>
      </c>
    </row>
    <row r="61" spans="1:55" x14ac:dyDescent="0.2">
      <c r="A61" t="s">
        <v>375</v>
      </c>
      <c r="B61">
        <v>13</v>
      </c>
      <c r="C61">
        <v>2016</v>
      </c>
      <c r="D61" t="s">
        <v>15</v>
      </c>
      <c r="E61" t="s">
        <v>374</v>
      </c>
      <c r="F61">
        <v>228</v>
      </c>
      <c r="G61">
        <v>227</v>
      </c>
      <c r="H61">
        <v>6.4</v>
      </c>
      <c r="I61" t="s">
        <v>345</v>
      </c>
      <c r="J61" t="s">
        <v>38</v>
      </c>
      <c r="K61" t="s">
        <v>377</v>
      </c>
      <c r="L61">
        <v>40</v>
      </c>
      <c r="M61">
        <f t="shared" si="10"/>
        <v>4.2670549450549453</v>
      </c>
      <c r="N61" s="2">
        <f>AVERAGE(4.53,4.41)</f>
        <v>4.4700000000000006</v>
      </c>
      <c r="O61" s="2"/>
      <c r="P61" s="2">
        <f>AVERAGE(4.1,4.03)</f>
        <v>4.0649999999999995</v>
      </c>
      <c r="Q61" s="2"/>
      <c r="T61" s="2">
        <v>32</v>
      </c>
      <c r="U61" s="12">
        <v>21</v>
      </c>
      <c r="V61" s="2">
        <v>11.5</v>
      </c>
      <c r="W61" s="2">
        <v>17</v>
      </c>
      <c r="X61" s="12">
        <v>21</v>
      </c>
      <c r="Y61" t="s">
        <v>479</v>
      </c>
      <c r="Z61" t="s">
        <v>377</v>
      </c>
      <c r="AA61" s="2">
        <f>AVERAGE(3.29,2.87)</f>
        <v>3.08</v>
      </c>
      <c r="AB61" s="2"/>
      <c r="AC61" s="2">
        <f>AVERAGE(3.3,3.66)</f>
        <v>3.48</v>
      </c>
      <c r="AD61" s="2"/>
      <c r="AE61" s="1">
        <f>EXP(-0.047) - 1</f>
        <v>-4.5912602409628911E-2</v>
      </c>
      <c r="AF61" s="1" t="s">
        <v>429</v>
      </c>
      <c r="AG61" s="1"/>
      <c r="AH61" s="1">
        <f>EXP(-0.08) - 1</f>
        <v>-7.6883653613364245E-2</v>
      </c>
      <c r="AI61" s="1">
        <f>EXP(-0.013)-1</f>
        <v>-1.2915864979712421E-2</v>
      </c>
      <c r="AJ61" s="1" t="s">
        <v>428</v>
      </c>
      <c r="AK61" s="3" t="s">
        <v>382</v>
      </c>
      <c r="AL61" s="3" t="s">
        <v>378</v>
      </c>
      <c r="AM61" s="3" t="s">
        <v>388</v>
      </c>
      <c r="AN61" s="3" t="s">
        <v>413</v>
      </c>
      <c r="AO61" t="s">
        <v>389</v>
      </c>
      <c r="AP61" s="3" t="s">
        <v>390</v>
      </c>
      <c r="AQ61" s="3" t="s">
        <v>275</v>
      </c>
      <c r="AR61" s="3" t="s">
        <v>109</v>
      </c>
      <c r="AS61" s="14" t="s">
        <v>391</v>
      </c>
      <c r="AT61" s="14" t="s">
        <v>110</v>
      </c>
      <c r="AU61" s="14" t="s">
        <v>392</v>
      </c>
      <c r="AV61">
        <v>97</v>
      </c>
      <c r="AW61" s="15" t="s">
        <v>393</v>
      </c>
      <c r="AX61" t="s">
        <v>411</v>
      </c>
      <c r="AY61" t="s">
        <v>376</v>
      </c>
      <c r="AZ61" s="13"/>
      <c r="BA61" s="13" t="s">
        <v>435</v>
      </c>
      <c r="BC61">
        <v>-4.5912602409628911E-2</v>
      </c>
    </row>
    <row r="62" spans="1:55" x14ac:dyDescent="0.2">
      <c r="A62" t="s">
        <v>375</v>
      </c>
      <c r="B62">
        <v>13</v>
      </c>
      <c r="C62">
        <v>2016</v>
      </c>
      <c r="D62" t="s">
        <v>15</v>
      </c>
      <c r="E62" t="s">
        <v>374</v>
      </c>
      <c r="F62">
        <f>F61*0.29</f>
        <v>66.11999999999999</v>
      </c>
      <c r="G62">
        <f>G61*0.29</f>
        <v>65.83</v>
      </c>
      <c r="H62">
        <v>6.4</v>
      </c>
      <c r="I62" t="s">
        <v>345</v>
      </c>
      <c r="J62" t="s">
        <v>38</v>
      </c>
      <c r="K62" t="s">
        <v>377</v>
      </c>
      <c r="L62">
        <v>40</v>
      </c>
      <c r="M62">
        <v>8</v>
      </c>
      <c r="N62" s="2">
        <v>8</v>
      </c>
      <c r="O62" s="2"/>
      <c r="P62" s="2">
        <v>8</v>
      </c>
      <c r="Q62" s="2"/>
      <c r="T62" s="2">
        <v>32</v>
      </c>
      <c r="U62" s="12">
        <v>21</v>
      </c>
      <c r="V62" s="2">
        <v>11.5</v>
      </c>
      <c r="W62" s="2">
        <v>17</v>
      </c>
      <c r="X62" s="12">
        <v>21</v>
      </c>
      <c r="Y62" t="s">
        <v>479</v>
      </c>
      <c r="Z62" t="s">
        <v>377</v>
      </c>
      <c r="AA62" s="2">
        <v>8</v>
      </c>
      <c r="AB62" s="2"/>
      <c r="AC62" s="2">
        <v>8</v>
      </c>
      <c r="AD62" s="2"/>
      <c r="AE62" s="1">
        <v>0.69499999999999995</v>
      </c>
      <c r="AF62" s="1"/>
      <c r="AG62" s="9"/>
      <c r="AH62" s="1">
        <v>0.27900000000000003</v>
      </c>
      <c r="AI62" s="1">
        <v>1.7270000000000001</v>
      </c>
      <c r="AJ62" s="1" t="s">
        <v>428</v>
      </c>
      <c r="AK62" s="3" t="s">
        <v>382</v>
      </c>
      <c r="AL62" s="3" t="s">
        <v>46</v>
      </c>
      <c r="AM62" s="3" t="s">
        <v>387</v>
      </c>
      <c r="AN62" s="3" t="s">
        <v>412</v>
      </c>
      <c r="AO62" t="s">
        <v>389</v>
      </c>
      <c r="AP62" s="3" t="s">
        <v>390</v>
      </c>
      <c r="AQ62" s="3" t="s">
        <v>275</v>
      </c>
      <c r="AR62" s="3" t="s">
        <v>109</v>
      </c>
      <c r="AS62" s="14" t="s">
        <v>391</v>
      </c>
      <c r="AT62" s="14" t="s">
        <v>110</v>
      </c>
      <c r="AU62" s="14" t="s">
        <v>392</v>
      </c>
      <c r="AV62">
        <v>97</v>
      </c>
      <c r="AW62" s="15" t="s">
        <v>393</v>
      </c>
      <c r="AX62" t="s">
        <v>411</v>
      </c>
      <c r="AY62" t="s">
        <v>376</v>
      </c>
      <c r="AZ62" s="13"/>
      <c r="BA62" s="13" t="s">
        <v>436</v>
      </c>
      <c r="BC62">
        <v>0.69499999999999995</v>
      </c>
    </row>
    <row r="63" spans="1:55" x14ac:dyDescent="0.2">
      <c r="A63" t="s">
        <v>375</v>
      </c>
      <c r="B63">
        <v>13</v>
      </c>
      <c r="C63">
        <v>2016</v>
      </c>
      <c r="D63" t="s">
        <v>15</v>
      </c>
      <c r="E63" t="s">
        <v>374</v>
      </c>
      <c r="F63">
        <f>F61*0.83</f>
        <v>189.23999999999998</v>
      </c>
      <c r="G63">
        <f>G61*0.83</f>
        <v>188.41</v>
      </c>
      <c r="H63">
        <v>6.4</v>
      </c>
      <c r="I63" t="s">
        <v>345</v>
      </c>
      <c r="J63" t="s">
        <v>38</v>
      </c>
      <c r="K63" t="s">
        <v>377</v>
      </c>
      <c r="L63">
        <v>40</v>
      </c>
      <c r="M63">
        <v>7</v>
      </c>
      <c r="N63" s="2">
        <v>7</v>
      </c>
      <c r="O63" s="2"/>
      <c r="P63" s="2">
        <v>7</v>
      </c>
      <c r="Q63" s="2"/>
      <c r="T63" s="2">
        <v>32</v>
      </c>
      <c r="U63" s="12">
        <v>21</v>
      </c>
      <c r="V63" s="2">
        <v>11.5</v>
      </c>
      <c r="W63" s="2">
        <v>17</v>
      </c>
      <c r="X63" s="12">
        <v>21</v>
      </c>
      <c r="Y63" t="s">
        <v>479</v>
      </c>
      <c r="Z63" t="s">
        <v>377</v>
      </c>
      <c r="AA63" s="2">
        <v>7</v>
      </c>
      <c r="AB63" s="2"/>
      <c r="AC63" s="2">
        <v>7</v>
      </c>
      <c r="AD63" s="2"/>
      <c r="AE63" s="1">
        <v>0.47499999999999998</v>
      </c>
      <c r="AF63" s="1"/>
      <c r="AG63" s="9"/>
      <c r="AH63" s="1">
        <v>0.25</v>
      </c>
      <c r="AI63" s="1">
        <v>0.90200000000000002</v>
      </c>
      <c r="AJ63" s="1" t="s">
        <v>428</v>
      </c>
      <c r="AK63" s="3" t="s">
        <v>382</v>
      </c>
      <c r="AL63" s="3" t="s">
        <v>46</v>
      </c>
      <c r="AM63" s="3" t="s">
        <v>387</v>
      </c>
      <c r="AN63" s="3" t="s">
        <v>412</v>
      </c>
      <c r="AO63" t="s">
        <v>389</v>
      </c>
      <c r="AP63" s="3" t="s">
        <v>390</v>
      </c>
      <c r="AQ63" s="3" t="s">
        <v>275</v>
      </c>
      <c r="AR63" s="3" t="s">
        <v>109</v>
      </c>
      <c r="AS63" s="14" t="s">
        <v>391</v>
      </c>
      <c r="AT63" s="14" t="s">
        <v>110</v>
      </c>
      <c r="AU63" s="14" t="s">
        <v>392</v>
      </c>
      <c r="AV63">
        <v>97</v>
      </c>
      <c r="AW63" s="15" t="s">
        <v>393</v>
      </c>
      <c r="AX63" t="s">
        <v>411</v>
      </c>
      <c r="AY63" t="s">
        <v>376</v>
      </c>
      <c r="AZ63" s="13"/>
      <c r="BA63" s="13" t="s">
        <v>437</v>
      </c>
      <c r="BC63">
        <v>0.47499999999999998</v>
      </c>
    </row>
  </sheetData>
  <phoneticPr fontId="4"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4053-BCB9-F243-9241-AD540141AFB2}">
  <dimension ref="A1:F14"/>
  <sheetViews>
    <sheetView zoomScale="138" workbookViewId="0">
      <selection activeCell="B18" sqref="B18"/>
    </sheetView>
  </sheetViews>
  <sheetFormatPr baseColWidth="10" defaultRowHeight="16" x14ac:dyDescent="0.2"/>
  <cols>
    <col min="1" max="1" width="33.6640625" bestFit="1" customWidth="1"/>
    <col min="2" max="2" width="7.83203125" bestFit="1" customWidth="1"/>
    <col min="5" max="5" width="25.1640625" bestFit="1" customWidth="1"/>
    <col min="6" max="6" width="11" bestFit="1" customWidth="1"/>
  </cols>
  <sheetData>
    <row r="1" spans="1:6" x14ac:dyDescent="0.2">
      <c r="A1" t="s">
        <v>0</v>
      </c>
      <c r="B1" t="s">
        <v>2</v>
      </c>
      <c r="C1" t="s">
        <v>536</v>
      </c>
      <c r="D1" t="s">
        <v>537</v>
      </c>
      <c r="E1" t="s">
        <v>564</v>
      </c>
      <c r="F1" t="s">
        <v>538</v>
      </c>
    </row>
    <row r="2" spans="1:6" x14ac:dyDescent="0.2">
      <c r="A2" t="s">
        <v>539</v>
      </c>
      <c r="B2" t="s">
        <v>374</v>
      </c>
      <c r="C2" t="s">
        <v>559</v>
      </c>
      <c r="D2" t="s">
        <v>540</v>
      </c>
      <c r="E2">
        <v>6</v>
      </c>
      <c r="F2">
        <v>457</v>
      </c>
    </row>
    <row r="3" spans="1:6" x14ac:dyDescent="0.2">
      <c r="A3" t="s">
        <v>541</v>
      </c>
      <c r="B3" t="s">
        <v>25</v>
      </c>
      <c r="C3" t="s">
        <v>566</v>
      </c>
      <c r="D3" t="s">
        <v>542</v>
      </c>
      <c r="E3">
        <v>9</v>
      </c>
      <c r="F3">
        <v>670</v>
      </c>
    </row>
    <row r="4" spans="1:6" x14ac:dyDescent="0.2">
      <c r="A4" t="s">
        <v>543</v>
      </c>
      <c r="B4" t="s">
        <v>25</v>
      </c>
      <c r="C4" t="s">
        <v>566</v>
      </c>
      <c r="D4" t="s">
        <v>542</v>
      </c>
      <c r="E4">
        <v>6</v>
      </c>
      <c r="F4">
        <v>617</v>
      </c>
    </row>
    <row r="5" spans="1:6" x14ac:dyDescent="0.2">
      <c r="A5" t="s">
        <v>544</v>
      </c>
      <c r="B5" t="s">
        <v>29</v>
      </c>
      <c r="C5" t="s">
        <v>560</v>
      </c>
      <c r="D5" t="s">
        <v>545</v>
      </c>
      <c r="E5" t="s">
        <v>565</v>
      </c>
      <c r="F5">
        <v>358</v>
      </c>
    </row>
    <row r="6" spans="1:6" x14ac:dyDescent="0.2">
      <c r="A6" t="s">
        <v>546</v>
      </c>
      <c r="B6" t="s">
        <v>27</v>
      </c>
      <c r="C6" t="s">
        <v>561</v>
      </c>
      <c r="D6" t="s">
        <v>547</v>
      </c>
      <c r="E6">
        <v>3</v>
      </c>
      <c r="F6">
        <v>88</v>
      </c>
    </row>
    <row r="7" spans="1:6" x14ac:dyDescent="0.2">
      <c r="A7" t="s">
        <v>548</v>
      </c>
      <c r="B7" t="s">
        <v>25</v>
      </c>
      <c r="C7" t="s">
        <v>561</v>
      </c>
      <c r="D7" t="s">
        <v>549</v>
      </c>
      <c r="E7">
        <v>6</v>
      </c>
      <c r="F7">
        <v>517</v>
      </c>
    </row>
    <row r="8" spans="1:6" x14ac:dyDescent="0.2">
      <c r="A8" t="s">
        <v>550</v>
      </c>
      <c r="B8" t="s">
        <v>27</v>
      </c>
      <c r="C8" t="s">
        <v>562</v>
      </c>
      <c r="D8" t="s">
        <v>551</v>
      </c>
      <c r="E8">
        <v>9</v>
      </c>
      <c r="F8">
        <v>103</v>
      </c>
    </row>
    <row r="9" spans="1:6" x14ac:dyDescent="0.2">
      <c r="A9" t="s">
        <v>552</v>
      </c>
      <c r="B9" t="s">
        <v>26</v>
      </c>
      <c r="C9" t="s">
        <v>563</v>
      </c>
      <c r="D9" t="s">
        <v>553</v>
      </c>
      <c r="E9">
        <v>3</v>
      </c>
      <c r="F9">
        <v>134</v>
      </c>
    </row>
    <row r="10" spans="1:6" x14ac:dyDescent="0.2">
      <c r="A10" s="17" t="s">
        <v>554</v>
      </c>
      <c r="B10" s="17" t="s">
        <v>71</v>
      </c>
      <c r="C10" t="s">
        <v>563</v>
      </c>
    </row>
    <row r="11" spans="1:6" x14ac:dyDescent="0.2">
      <c r="A11" t="s">
        <v>555</v>
      </c>
      <c r="B11" t="s">
        <v>25</v>
      </c>
      <c r="C11" t="s">
        <v>566</v>
      </c>
    </row>
    <row r="12" spans="1:6" x14ac:dyDescent="0.2">
      <c r="A12" t="s">
        <v>556</v>
      </c>
      <c r="B12" s="17" t="s">
        <v>71</v>
      </c>
      <c r="C12" t="s">
        <v>563</v>
      </c>
    </row>
    <row r="13" spans="1:6" x14ac:dyDescent="0.2">
      <c r="A13" t="s">
        <v>557</v>
      </c>
      <c r="B13" s="17" t="s">
        <v>71</v>
      </c>
      <c r="C13" t="s">
        <v>563</v>
      </c>
    </row>
    <row r="14" spans="1:6" x14ac:dyDescent="0.2">
      <c r="A14" t="s">
        <v>558</v>
      </c>
      <c r="B14" s="17" t="s">
        <v>25</v>
      </c>
      <c r="C14" t="s">
        <v>563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E683-B621-F64E-8F3C-77A0ACABDE4E}">
  <dimension ref="A1:BC5"/>
  <sheetViews>
    <sheetView topLeftCell="S1" workbookViewId="0">
      <selection activeCell="D5" sqref="D5"/>
    </sheetView>
  </sheetViews>
  <sheetFormatPr baseColWidth="10" defaultRowHeight="16" x14ac:dyDescent="0.2"/>
  <sheetData>
    <row r="1" spans="1:55" s="4" customFormat="1" ht="45" customHeight="1" x14ac:dyDescent="0.2">
      <c r="A1" s="4" t="s">
        <v>0</v>
      </c>
      <c r="B1" t="s">
        <v>313</v>
      </c>
      <c r="C1" t="s">
        <v>312</v>
      </c>
      <c r="D1" s="4" t="s">
        <v>1</v>
      </c>
      <c r="E1" s="4" t="s">
        <v>2</v>
      </c>
      <c r="F1" s="4" t="s">
        <v>135</v>
      </c>
      <c r="G1" s="4" t="s">
        <v>134</v>
      </c>
      <c r="H1" s="4" t="s">
        <v>41</v>
      </c>
      <c r="I1" s="4" t="s">
        <v>344</v>
      </c>
      <c r="J1" s="4" t="s">
        <v>37</v>
      </c>
      <c r="K1" s="4" t="s">
        <v>36</v>
      </c>
      <c r="L1" s="4" t="s">
        <v>111</v>
      </c>
      <c r="M1" s="4" t="s">
        <v>347</v>
      </c>
      <c r="N1" s="5" t="s">
        <v>82</v>
      </c>
      <c r="O1" s="5" t="s">
        <v>77</v>
      </c>
      <c r="P1" s="5" t="s">
        <v>81</v>
      </c>
      <c r="Q1" s="5" t="s">
        <v>76</v>
      </c>
      <c r="R1" t="s">
        <v>448</v>
      </c>
      <c r="S1" s="5" t="s">
        <v>450</v>
      </c>
      <c r="T1" s="5" t="s">
        <v>394</v>
      </c>
      <c r="U1" s="5" t="s">
        <v>415</v>
      </c>
      <c r="V1" s="5" t="s">
        <v>399</v>
      </c>
      <c r="W1" s="5" t="s">
        <v>400</v>
      </c>
      <c r="X1" s="5" t="s">
        <v>483</v>
      </c>
      <c r="Y1" t="s">
        <v>455</v>
      </c>
      <c r="Z1" s="4" t="s">
        <v>36</v>
      </c>
      <c r="AA1" s="5" t="s">
        <v>328</v>
      </c>
      <c r="AB1" s="5" t="s">
        <v>329</v>
      </c>
      <c r="AC1" s="5" t="s">
        <v>330</v>
      </c>
      <c r="AD1" s="5" t="s">
        <v>331</v>
      </c>
      <c r="AE1" s="6" t="s">
        <v>112</v>
      </c>
      <c r="AF1" s="6" t="s">
        <v>183</v>
      </c>
      <c r="AG1" s="6" t="s">
        <v>91</v>
      </c>
      <c r="AH1" s="6" t="s">
        <v>315</v>
      </c>
      <c r="AI1" s="6" t="s">
        <v>316</v>
      </c>
      <c r="AJ1" s="6" t="s">
        <v>318</v>
      </c>
      <c r="AK1" s="7" t="s">
        <v>93</v>
      </c>
      <c r="AL1" s="7" t="s">
        <v>342</v>
      </c>
      <c r="AM1" s="7" t="s">
        <v>40</v>
      </c>
      <c r="AN1" s="7" t="s">
        <v>7</v>
      </c>
      <c r="AO1" s="7" t="s">
        <v>8</v>
      </c>
      <c r="AP1" s="7" t="s">
        <v>9</v>
      </c>
      <c r="AQ1" s="7" t="s">
        <v>10</v>
      </c>
      <c r="AR1" s="7" t="s">
        <v>11</v>
      </c>
      <c r="AS1" s="4" t="s">
        <v>12</v>
      </c>
      <c r="AT1" s="4" t="s">
        <v>13</v>
      </c>
      <c r="AU1" s="4" t="s">
        <v>169</v>
      </c>
      <c r="AV1" s="4" t="s">
        <v>416</v>
      </c>
      <c r="AW1" s="4" t="s">
        <v>14</v>
      </c>
      <c r="AX1" s="4" t="s">
        <v>397</v>
      </c>
      <c r="AY1" s="4" t="s">
        <v>460</v>
      </c>
      <c r="AZ1" s="4" t="s">
        <v>132</v>
      </c>
      <c r="BA1" s="4" t="s">
        <v>184</v>
      </c>
      <c r="BB1" s="4" t="s">
        <v>485</v>
      </c>
      <c r="BC1" s="4" t="s">
        <v>112</v>
      </c>
    </row>
    <row r="2" spans="1:55" x14ac:dyDescent="0.2">
      <c r="A2" t="s">
        <v>19</v>
      </c>
      <c r="B2">
        <v>12</v>
      </c>
      <c r="C2">
        <v>2003</v>
      </c>
      <c r="D2" t="s">
        <v>73</v>
      </c>
      <c r="E2" t="s">
        <v>28</v>
      </c>
      <c r="F2">
        <v>29</v>
      </c>
      <c r="G2">
        <v>30</v>
      </c>
      <c r="H2">
        <v>3</v>
      </c>
      <c r="I2" t="s">
        <v>345</v>
      </c>
      <c r="J2" t="s">
        <v>38</v>
      </c>
      <c r="K2" t="s">
        <v>32</v>
      </c>
      <c r="L2">
        <v>55.8</v>
      </c>
      <c r="M2">
        <f>((N2*G2)+(P2*F2))/(G2+F2)</f>
        <v>10.408474576271187</v>
      </c>
      <c r="N2" s="2">
        <v>10.9</v>
      </c>
      <c r="O2" s="2">
        <v>2.7386127875258306</v>
      </c>
      <c r="P2" s="2">
        <v>9.9</v>
      </c>
      <c r="Q2" s="2">
        <v>2.1540659228538015</v>
      </c>
      <c r="T2" s="2">
        <v>100</v>
      </c>
      <c r="U2" s="2">
        <v>100</v>
      </c>
      <c r="X2" s="2">
        <v>100</v>
      </c>
      <c r="Y2" t="s">
        <v>480</v>
      </c>
      <c r="Z2" t="s">
        <v>32</v>
      </c>
      <c r="AA2" s="2">
        <v>10.5</v>
      </c>
      <c r="AB2" s="2">
        <f>0.5*SQRT(Q2)</f>
        <v>0.73383682158464247</v>
      </c>
      <c r="AC2" s="2">
        <v>10.9</v>
      </c>
      <c r="AD2" s="2">
        <f>0.5*SQRT(P2)</f>
        <v>1.5732132722552274</v>
      </c>
      <c r="AE2" s="1">
        <f>(AA2-N2)-(AC2-P2)</f>
        <v>-1.4000000000000004</v>
      </c>
      <c r="AF2" s="1">
        <f>SQRT((AD2^2)/F2 + (AB2^2)/G2)</f>
        <v>0.32139598152951748</v>
      </c>
      <c r="AG2" s="9">
        <f>_xlfn.T.DIST.2T(ABS(AE2/AF2), F2+G2-2)</f>
        <v>5.5823791488691892E-5</v>
      </c>
      <c r="AH2" s="1"/>
      <c r="AI2" s="1"/>
      <c r="AJ2" s="1" t="s">
        <v>350</v>
      </c>
      <c r="AK2" t="s">
        <v>364</v>
      </c>
      <c r="AL2" s="3" t="s">
        <v>46</v>
      </c>
      <c r="AM2" s="3" t="s">
        <v>46</v>
      </c>
      <c r="AN2" s="3" t="s">
        <v>52</v>
      </c>
      <c r="AO2" s="3" t="s">
        <v>51</v>
      </c>
      <c r="AP2" s="3" t="s">
        <v>53</v>
      </c>
      <c r="AQ2" s="3" t="s">
        <v>43</v>
      </c>
      <c r="AR2" s="3"/>
      <c r="AS2" s="14" t="s">
        <v>365</v>
      </c>
      <c r="AT2" t="s">
        <v>110</v>
      </c>
      <c r="AU2" t="s">
        <v>366</v>
      </c>
      <c r="AV2">
        <v>90</v>
      </c>
      <c r="AW2" t="s">
        <v>367</v>
      </c>
      <c r="AX2" t="s">
        <v>371</v>
      </c>
      <c r="AY2" t="s">
        <v>470</v>
      </c>
      <c r="AZ2" t="s">
        <v>373</v>
      </c>
      <c r="BA2" t="s">
        <v>360</v>
      </c>
      <c r="BC2">
        <v>-1.4000000000000004</v>
      </c>
    </row>
    <row r="3" spans="1:55" x14ac:dyDescent="0.2">
      <c r="A3" t="s">
        <v>19</v>
      </c>
      <c r="B3">
        <v>12</v>
      </c>
      <c r="C3">
        <v>2003</v>
      </c>
      <c r="D3" t="s">
        <v>73</v>
      </c>
      <c r="E3" t="s">
        <v>28</v>
      </c>
      <c r="F3">
        <v>29</v>
      </c>
      <c r="G3">
        <v>26</v>
      </c>
      <c r="H3">
        <v>3</v>
      </c>
      <c r="I3" t="s">
        <v>345</v>
      </c>
      <c r="J3" t="s">
        <v>38</v>
      </c>
      <c r="K3" t="s">
        <v>32</v>
      </c>
      <c r="L3">
        <v>55.8</v>
      </c>
      <c r="M3">
        <f>((N3*G3)+(P3*F3))/(G3+F3)</f>
        <v>10.75090909090909</v>
      </c>
      <c r="N3" s="2">
        <v>11.7</v>
      </c>
      <c r="O3" s="2">
        <v>0.61188234163113409</v>
      </c>
      <c r="P3" s="2">
        <v>9.9</v>
      </c>
      <c r="Q3" s="2">
        <v>2.1540659228538015</v>
      </c>
      <c r="T3" s="2">
        <v>100</v>
      </c>
      <c r="U3" s="2"/>
      <c r="X3" s="2">
        <v>75</v>
      </c>
      <c r="Y3" t="s">
        <v>481</v>
      </c>
      <c r="Z3" t="s">
        <v>32</v>
      </c>
      <c r="AA3" s="2">
        <v>11.2</v>
      </c>
      <c r="AB3" s="2">
        <f>0.8*SQRT(Q3)</f>
        <v>1.174138914535428</v>
      </c>
      <c r="AC3" s="2">
        <v>10.9</v>
      </c>
      <c r="AD3" s="2">
        <f>0.5*SQRT(P3)</f>
        <v>1.5732132722552274</v>
      </c>
      <c r="AE3" s="1">
        <f>(AA3-N3)-(AC3-P3)</f>
        <v>-1.5</v>
      </c>
      <c r="AF3" s="1">
        <f>SQRT((AD3^2)/F3 + (AB3^2)/G3)</f>
        <v>0.37197847889917857</v>
      </c>
      <c r="AG3" s="9">
        <f>_xlfn.T.DIST.2T(ABS(AE3/AF3), F3+G3-2)</f>
        <v>1.7781653581989734E-4</v>
      </c>
      <c r="AH3" s="1"/>
      <c r="AI3" s="1"/>
      <c r="AJ3" s="1" t="s">
        <v>350</v>
      </c>
      <c r="AK3" t="s">
        <v>364</v>
      </c>
      <c r="AL3" s="3" t="s">
        <v>46</v>
      </c>
      <c r="AM3" s="3" t="s">
        <v>46</v>
      </c>
      <c r="AN3" s="3" t="s">
        <v>52</v>
      </c>
      <c r="AO3" s="3" t="s">
        <v>51</v>
      </c>
      <c r="AP3" s="3" t="s">
        <v>53</v>
      </c>
      <c r="AQ3" s="3" t="s">
        <v>43</v>
      </c>
      <c r="AR3" s="3"/>
      <c r="AS3" s="14" t="s">
        <v>365</v>
      </c>
      <c r="AT3" t="s">
        <v>110</v>
      </c>
      <c r="AU3" t="s">
        <v>366</v>
      </c>
      <c r="AV3">
        <v>100</v>
      </c>
      <c r="AW3" t="s">
        <v>368</v>
      </c>
      <c r="AX3" t="s">
        <v>371</v>
      </c>
      <c r="AY3" t="s">
        <v>470</v>
      </c>
      <c r="AZ3" t="s">
        <v>373</v>
      </c>
      <c r="BA3" t="s">
        <v>363</v>
      </c>
      <c r="BC3">
        <v>-1.5</v>
      </c>
    </row>
    <row r="4" spans="1:55" x14ac:dyDescent="0.2">
      <c r="A4" t="s">
        <v>19</v>
      </c>
      <c r="B4">
        <v>12</v>
      </c>
      <c r="C4">
        <v>2003</v>
      </c>
      <c r="D4" t="s">
        <v>73</v>
      </c>
      <c r="E4" t="s">
        <v>28</v>
      </c>
      <c r="F4">
        <v>29</v>
      </c>
      <c r="G4">
        <v>16</v>
      </c>
      <c r="H4">
        <v>3</v>
      </c>
      <c r="I4" t="s">
        <v>345</v>
      </c>
      <c r="J4" t="s">
        <v>38</v>
      </c>
      <c r="K4" t="s">
        <v>32</v>
      </c>
      <c r="L4">
        <v>55.8</v>
      </c>
      <c r="M4">
        <f>((N4*G4)+(P4*F4))/(G4+F4)</f>
        <v>10.611111111111111</v>
      </c>
      <c r="N4" s="2">
        <v>11.9</v>
      </c>
      <c r="O4" s="2">
        <v>3.6</v>
      </c>
      <c r="P4" s="2">
        <v>9.9</v>
      </c>
      <c r="Q4" s="2">
        <v>2.1540659228538015</v>
      </c>
      <c r="T4" s="2">
        <v>100</v>
      </c>
      <c r="U4" s="2">
        <v>0</v>
      </c>
      <c r="X4" s="2">
        <v>80</v>
      </c>
      <c r="Y4" t="s">
        <v>482</v>
      </c>
      <c r="Z4" t="s">
        <v>32</v>
      </c>
      <c r="AA4" s="2">
        <v>11.4</v>
      </c>
      <c r="AB4" s="2">
        <f>0.7*SQRT(Q4)</f>
        <v>1.0273715502184995</v>
      </c>
      <c r="AC4" s="2">
        <v>10.9</v>
      </c>
      <c r="AD4" s="2">
        <f>0.5*SQRT(P4)</f>
        <v>1.5732132722552274</v>
      </c>
      <c r="AE4" s="1">
        <f>(AA4-N4)-(AC4-P4)</f>
        <v>-1.5</v>
      </c>
      <c r="AF4" s="1">
        <f>SQRT((AD4^2)/F4 + (AB4^2)/G4)</f>
        <v>0.38898984109306067</v>
      </c>
      <c r="AG4" s="9">
        <f>_xlfn.T.DIST.2T(ABS(AE4/AF4), F4+G4-2)</f>
        <v>3.8024009401855098E-4</v>
      </c>
      <c r="AH4" s="1"/>
      <c r="AI4" s="1"/>
      <c r="AJ4" s="1" t="s">
        <v>350</v>
      </c>
      <c r="AK4" t="s">
        <v>364</v>
      </c>
      <c r="AL4" s="3" t="s">
        <v>46</v>
      </c>
      <c r="AM4" s="3" t="s">
        <v>46</v>
      </c>
      <c r="AN4" s="3" t="s">
        <v>52</v>
      </c>
      <c r="AO4" s="3" t="s">
        <v>51</v>
      </c>
      <c r="AP4" s="3" t="s">
        <v>53</v>
      </c>
      <c r="AQ4" s="3" t="s">
        <v>43</v>
      </c>
      <c r="AR4" s="3"/>
      <c r="AS4" s="14" t="s">
        <v>365</v>
      </c>
      <c r="AT4" t="s">
        <v>110</v>
      </c>
      <c r="AU4" t="s">
        <v>366</v>
      </c>
      <c r="AV4">
        <v>100</v>
      </c>
      <c r="AW4" t="s">
        <v>369</v>
      </c>
      <c r="AX4" t="s">
        <v>371</v>
      </c>
      <c r="AY4" t="s">
        <v>470</v>
      </c>
      <c r="AZ4" t="s">
        <v>373</v>
      </c>
      <c r="BA4" t="s">
        <v>362</v>
      </c>
      <c r="BC4">
        <v>-1.5</v>
      </c>
    </row>
    <row r="5" spans="1:55" x14ac:dyDescent="0.2">
      <c r="A5" t="s">
        <v>19</v>
      </c>
      <c r="B5">
        <v>12</v>
      </c>
      <c r="C5">
        <v>2003</v>
      </c>
      <c r="D5" t="s">
        <v>73</v>
      </c>
      <c r="E5" t="s">
        <v>28</v>
      </c>
      <c r="F5">
        <v>29</v>
      </c>
      <c r="G5">
        <v>34</v>
      </c>
      <c r="H5">
        <v>3</v>
      </c>
      <c r="I5" t="s">
        <v>345</v>
      </c>
      <c r="J5" t="s">
        <v>38</v>
      </c>
      <c r="K5" t="s">
        <v>32</v>
      </c>
      <c r="L5">
        <v>55.8</v>
      </c>
      <c r="M5">
        <f>((N5*G5)+(P5*F5))/(G5+F5)</f>
        <v>10.817460317460318</v>
      </c>
      <c r="N5" s="2">
        <v>11.6</v>
      </c>
      <c r="O5" s="2">
        <v>2.9154759474226504</v>
      </c>
      <c r="P5" s="2">
        <v>9.9</v>
      </c>
      <c r="Q5" s="2">
        <v>2.1540659228538015</v>
      </c>
      <c r="T5" s="2">
        <v>100</v>
      </c>
      <c r="U5" s="2">
        <v>0</v>
      </c>
      <c r="X5" s="2">
        <v>70</v>
      </c>
      <c r="Y5" t="s">
        <v>482</v>
      </c>
      <c r="Z5" t="s">
        <v>32</v>
      </c>
      <c r="AA5" s="2">
        <v>10.199999999999999</v>
      </c>
      <c r="AB5" s="2">
        <f>0.3*SQRT(Q5)</f>
        <v>0.44030209295078548</v>
      </c>
      <c r="AC5" s="2">
        <v>10.9</v>
      </c>
      <c r="AD5" s="2">
        <f>0.5*SQRT(P5)</f>
        <v>1.5732132722552274</v>
      </c>
      <c r="AE5" s="1">
        <f>(AA5-N5)-(AC5-P5)</f>
        <v>-2.4000000000000004</v>
      </c>
      <c r="AF5" s="1">
        <f>SQRT((AD5^2)/F5 + (AB5^2)/G5)</f>
        <v>0.30173956782921446</v>
      </c>
      <c r="AG5" s="9">
        <f>_xlfn.T.DIST.2T(ABS(AE5/AF5), F5+G5-2)</f>
        <v>5.2805457315397955E-11</v>
      </c>
      <c r="AH5" s="1"/>
      <c r="AI5" s="1"/>
      <c r="AJ5" s="1" t="s">
        <v>350</v>
      </c>
      <c r="AK5" t="s">
        <v>364</v>
      </c>
      <c r="AL5" s="3" t="s">
        <v>46</v>
      </c>
      <c r="AM5" s="3" t="s">
        <v>46</v>
      </c>
      <c r="AN5" s="3" t="s">
        <v>52</v>
      </c>
      <c r="AO5" s="3" t="s">
        <v>51</v>
      </c>
      <c r="AP5" s="3" t="s">
        <v>53</v>
      </c>
      <c r="AQ5" s="3" t="s">
        <v>43</v>
      </c>
      <c r="AR5" s="3"/>
      <c r="AS5" s="14" t="s">
        <v>365</v>
      </c>
      <c r="AT5" t="s">
        <v>110</v>
      </c>
      <c r="AU5" t="s">
        <v>366</v>
      </c>
      <c r="AV5">
        <v>100</v>
      </c>
      <c r="AW5" t="s">
        <v>370</v>
      </c>
      <c r="AX5" t="s">
        <v>371</v>
      </c>
      <c r="AY5" t="s">
        <v>470</v>
      </c>
      <c r="AZ5" t="s">
        <v>373</v>
      </c>
      <c r="BA5" t="s">
        <v>361</v>
      </c>
      <c r="BC5">
        <v>-2.4000000000000004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5363-F8CB-434B-9142-4C3973B6539E}">
  <dimension ref="A1:I22"/>
  <sheetViews>
    <sheetView zoomScale="125" zoomScaleNormal="100" workbookViewId="0">
      <selection activeCell="I2" sqref="I2:I22"/>
    </sheetView>
  </sheetViews>
  <sheetFormatPr baseColWidth="10" defaultRowHeight="16" x14ac:dyDescent="0.2"/>
  <sheetData>
    <row r="1" spans="1:9" x14ac:dyDescent="0.2">
      <c r="A1" t="s">
        <v>494</v>
      </c>
      <c r="B1" t="s">
        <v>494</v>
      </c>
      <c r="F1" t="s">
        <v>23</v>
      </c>
      <c r="G1" t="s">
        <v>223</v>
      </c>
      <c r="H1" t="s">
        <v>508</v>
      </c>
    </row>
    <row r="2" spans="1:9" x14ac:dyDescent="0.2">
      <c r="A2" t="s">
        <v>22</v>
      </c>
      <c r="B2" t="s">
        <v>495</v>
      </c>
      <c r="F2" t="s">
        <v>23</v>
      </c>
      <c r="G2" t="s">
        <v>224</v>
      </c>
      <c r="H2" t="s">
        <v>509</v>
      </c>
      <c r="I2" t="s">
        <v>515</v>
      </c>
    </row>
    <row r="3" spans="1:9" x14ac:dyDescent="0.2">
      <c r="A3" t="s">
        <v>22</v>
      </c>
      <c r="B3" t="s">
        <v>496</v>
      </c>
      <c r="F3" t="s">
        <v>23</v>
      </c>
      <c r="G3" t="s">
        <v>225</v>
      </c>
      <c r="I3" t="s">
        <v>516</v>
      </c>
    </row>
    <row r="4" spans="1:9" x14ac:dyDescent="0.2">
      <c r="A4" t="s">
        <v>22</v>
      </c>
      <c r="B4" t="s">
        <v>497</v>
      </c>
      <c r="F4" t="s">
        <v>23</v>
      </c>
      <c r="G4" t="s">
        <v>226</v>
      </c>
      <c r="I4" t="s">
        <v>517</v>
      </c>
    </row>
    <row r="5" spans="1:9" x14ac:dyDescent="0.2">
      <c r="A5" t="s">
        <v>22</v>
      </c>
      <c r="B5" t="s">
        <v>498</v>
      </c>
      <c r="F5" t="s">
        <v>23</v>
      </c>
      <c r="G5" t="s">
        <v>227</v>
      </c>
      <c r="I5" t="s">
        <v>518</v>
      </c>
    </row>
    <row r="6" spans="1:9" x14ac:dyDescent="0.2">
      <c r="A6" t="s">
        <v>22</v>
      </c>
      <c r="B6" t="s">
        <v>499</v>
      </c>
      <c r="F6" t="s">
        <v>23</v>
      </c>
      <c r="G6" t="s">
        <v>228</v>
      </c>
      <c r="I6" t="s">
        <v>519</v>
      </c>
    </row>
    <row r="7" spans="1:9" x14ac:dyDescent="0.2">
      <c r="A7" t="s">
        <v>22</v>
      </c>
      <c r="B7" t="s">
        <v>500</v>
      </c>
      <c r="F7" t="s">
        <v>23</v>
      </c>
      <c r="G7" t="s">
        <v>229</v>
      </c>
      <c r="I7" t="s">
        <v>520</v>
      </c>
    </row>
    <row r="8" spans="1:9" x14ac:dyDescent="0.2">
      <c r="A8" t="s">
        <v>22</v>
      </c>
      <c r="B8" t="s">
        <v>501</v>
      </c>
      <c r="F8" t="s">
        <v>23</v>
      </c>
      <c r="G8" t="s">
        <v>230</v>
      </c>
      <c r="I8" t="s">
        <v>521</v>
      </c>
    </row>
    <row r="9" spans="1:9" x14ac:dyDescent="0.2">
      <c r="A9" t="s">
        <v>22</v>
      </c>
      <c r="B9" t="s">
        <v>499</v>
      </c>
      <c r="F9" t="s">
        <v>23</v>
      </c>
      <c r="G9" t="s">
        <v>231</v>
      </c>
      <c r="I9" t="s">
        <v>522</v>
      </c>
    </row>
    <row r="10" spans="1:9" x14ac:dyDescent="0.2">
      <c r="A10" t="s">
        <v>22</v>
      </c>
      <c r="B10" t="s">
        <v>500</v>
      </c>
      <c r="F10" t="s">
        <v>23</v>
      </c>
      <c r="G10" t="s">
        <v>232</v>
      </c>
      <c r="I10" t="s">
        <v>523</v>
      </c>
    </row>
    <row r="11" spans="1:9" x14ac:dyDescent="0.2">
      <c r="A11" t="s">
        <v>22</v>
      </c>
      <c r="B11" t="s">
        <v>501</v>
      </c>
      <c r="F11" t="s">
        <v>23</v>
      </c>
      <c r="G11" t="s">
        <v>233</v>
      </c>
      <c r="I11" t="s">
        <v>524</v>
      </c>
    </row>
    <row r="12" spans="1:9" x14ac:dyDescent="0.2">
      <c r="F12" t="s">
        <v>23</v>
      </c>
      <c r="G12" t="s">
        <v>234</v>
      </c>
      <c r="I12" t="s">
        <v>525</v>
      </c>
    </row>
    <row r="13" spans="1:9" x14ac:dyDescent="0.2">
      <c r="F13" t="s">
        <v>23</v>
      </c>
      <c r="G13" t="s">
        <v>235</v>
      </c>
      <c r="I13" t="s">
        <v>526</v>
      </c>
    </row>
    <row r="14" spans="1:9" x14ac:dyDescent="0.2">
      <c r="F14" t="s">
        <v>23</v>
      </c>
      <c r="G14" t="s">
        <v>236</v>
      </c>
      <c r="I14" t="s">
        <v>527</v>
      </c>
    </row>
    <row r="15" spans="1:9" x14ac:dyDescent="0.2">
      <c r="F15" t="s">
        <v>23</v>
      </c>
      <c r="G15" t="s">
        <v>237</v>
      </c>
      <c r="I15" t="s">
        <v>528</v>
      </c>
    </row>
    <row r="16" spans="1:9" x14ac:dyDescent="0.2">
      <c r="F16" t="s">
        <v>23</v>
      </c>
      <c r="G16" t="s">
        <v>238</v>
      </c>
      <c r="I16" t="s">
        <v>529</v>
      </c>
    </row>
    <row r="17" spans="6:9" x14ac:dyDescent="0.2">
      <c r="F17" t="s">
        <v>23</v>
      </c>
      <c r="G17" t="s">
        <v>239</v>
      </c>
      <c r="I17" t="s">
        <v>530</v>
      </c>
    </row>
    <row r="18" spans="6:9" x14ac:dyDescent="0.2">
      <c r="F18" t="s">
        <v>23</v>
      </c>
      <c r="G18" t="s">
        <v>240</v>
      </c>
      <c r="I18" t="s">
        <v>531</v>
      </c>
    </row>
    <row r="19" spans="6:9" x14ac:dyDescent="0.2">
      <c r="F19" t="s">
        <v>23</v>
      </c>
      <c r="G19" t="s">
        <v>241</v>
      </c>
      <c r="I19" t="s">
        <v>532</v>
      </c>
    </row>
    <row r="20" spans="6:9" x14ac:dyDescent="0.2">
      <c r="F20" t="s">
        <v>23</v>
      </c>
      <c r="G20" t="s">
        <v>242</v>
      </c>
      <c r="I20" t="s">
        <v>533</v>
      </c>
    </row>
    <row r="21" spans="6:9" x14ac:dyDescent="0.2">
      <c r="F21" t="s">
        <v>23</v>
      </c>
      <c r="G21" t="s">
        <v>243</v>
      </c>
      <c r="I21" t="s">
        <v>534</v>
      </c>
    </row>
    <row r="22" spans="6:9" x14ac:dyDescent="0.2">
      <c r="F22" t="s">
        <v>23</v>
      </c>
      <c r="G22" t="s">
        <v>244</v>
      </c>
      <c r="I22" t="s">
        <v>535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45F1-EC47-034E-80EA-4977EFFAF652}">
  <dimension ref="A1:F67"/>
  <sheetViews>
    <sheetView workbookViewId="0">
      <selection activeCell="F59" sqref="F59:F60"/>
    </sheetView>
  </sheetViews>
  <sheetFormatPr baseColWidth="10" defaultRowHeight="16" x14ac:dyDescent="0.2"/>
  <cols>
    <col min="1" max="1" width="19" customWidth="1"/>
    <col min="2" max="2" width="14.83203125" style="3" customWidth="1"/>
    <col min="3" max="3" width="27" customWidth="1"/>
    <col min="4" max="4" width="36.33203125" customWidth="1"/>
    <col min="5" max="5" width="14.83203125" style="2" customWidth="1"/>
  </cols>
  <sheetData>
    <row r="1" spans="1:6" x14ac:dyDescent="0.2">
      <c r="A1" s="4" t="s">
        <v>0</v>
      </c>
      <c r="B1" s="7" t="s">
        <v>342</v>
      </c>
      <c r="C1" t="s">
        <v>439</v>
      </c>
      <c r="D1" t="s">
        <v>446</v>
      </c>
      <c r="E1" s="5" t="s">
        <v>398</v>
      </c>
      <c r="F1" t="s">
        <v>447</v>
      </c>
    </row>
    <row r="2" spans="1:6" x14ac:dyDescent="0.2">
      <c r="A2" t="s">
        <v>17</v>
      </c>
      <c r="B2" s="3" t="s">
        <v>46</v>
      </c>
      <c r="C2" t="s">
        <v>438</v>
      </c>
      <c r="E2"/>
    </row>
    <row r="3" spans="1:6" x14ac:dyDescent="0.2">
      <c r="A3" t="s">
        <v>17</v>
      </c>
      <c r="B3" s="3" t="s">
        <v>296</v>
      </c>
      <c r="C3" t="s">
        <v>438</v>
      </c>
      <c r="E3"/>
    </row>
    <row r="4" spans="1:6" x14ac:dyDescent="0.2">
      <c r="A4" t="s">
        <v>17</v>
      </c>
      <c r="B4" s="3" t="s">
        <v>48</v>
      </c>
      <c r="C4" t="s">
        <v>438</v>
      </c>
      <c r="E4"/>
    </row>
    <row r="5" spans="1:6" x14ac:dyDescent="0.2">
      <c r="A5" t="s">
        <v>18</v>
      </c>
      <c r="B5" s="3" t="s">
        <v>46</v>
      </c>
      <c r="C5" t="s">
        <v>438</v>
      </c>
      <c r="E5"/>
    </row>
    <row r="6" spans="1:6" x14ac:dyDescent="0.2">
      <c r="A6" t="s">
        <v>20</v>
      </c>
      <c r="B6" s="3" t="s">
        <v>343</v>
      </c>
      <c r="D6">
        <f>(1108*35+32*973)/(32+35)</f>
        <v>1043.5223880597016</v>
      </c>
      <c r="E6" s="2">
        <v>2.2000000000000002</v>
      </c>
    </row>
    <row r="7" spans="1:6" x14ac:dyDescent="0.2">
      <c r="A7" t="s">
        <v>21</v>
      </c>
      <c r="B7" s="3" t="s">
        <v>343</v>
      </c>
      <c r="D7">
        <v>477</v>
      </c>
      <c r="E7" s="2">
        <v>2.5</v>
      </c>
    </row>
    <row r="8" spans="1:6" x14ac:dyDescent="0.2">
      <c r="A8" t="s">
        <v>21</v>
      </c>
      <c r="B8" s="3" t="s">
        <v>343</v>
      </c>
      <c r="D8">
        <v>477</v>
      </c>
      <c r="E8" s="2">
        <v>2.5</v>
      </c>
    </row>
    <row r="9" spans="1:6" x14ac:dyDescent="0.2">
      <c r="A9" t="s">
        <v>22</v>
      </c>
      <c r="B9" s="3" t="s">
        <v>343</v>
      </c>
      <c r="D9">
        <v>1137</v>
      </c>
      <c r="E9" s="2" t="s">
        <v>395</v>
      </c>
    </row>
    <row r="10" spans="1:6" x14ac:dyDescent="0.2">
      <c r="A10" t="s">
        <v>22</v>
      </c>
      <c r="B10" s="3" t="s">
        <v>343</v>
      </c>
      <c r="D10">
        <v>1137</v>
      </c>
      <c r="E10" s="2" t="s">
        <v>395</v>
      </c>
    </row>
    <row r="11" spans="1:6" x14ac:dyDescent="0.2">
      <c r="A11" t="s">
        <v>22</v>
      </c>
      <c r="B11" s="3" t="s">
        <v>343</v>
      </c>
      <c r="D11">
        <v>1137</v>
      </c>
      <c r="E11" s="2" t="s">
        <v>395</v>
      </c>
    </row>
    <row r="12" spans="1:6" x14ac:dyDescent="0.2">
      <c r="A12" t="s">
        <v>22</v>
      </c>
      <c r="B12" s="3" t="s">
        <v>343</v>
      </c>
      <c r="D12">
        <v>1137</v>
      </c>
      <c r="E12" s="2" t="s">
        <v>395</v>
      </c>
    </row>
    <row r="13" spans="1:6" x14ac:dyDescent="0.2">
      <c r="A13" t="s">
        <v>22</v>
      </c>
      <c r="B13" s="3" t="s">
        <v>343</v>
      </c>
      <c r="D13">
        <v>1137</v>
      </c>
      <c r="E13" s="2" t="s">
        <v>395</v>
      </c>
    </row>
    <row r="14" spans="1:6" x14ac:dyDescent="0.2">
      <c r="A14" t="s">
        <v>22</v>
      </c>
      <c r="B14" s="3" t="s">
        <v>343</v>
      </c>
      <c r="D14">
        <v>1137</v>
      </c>
      <c r="E14" s="2" t="s">
        <v>395</v>
      </c>
    </row>
    <row r="15" spans="1:6" x14ac:dyDescent="0.2">
      <c r="A15" t="s">
        <v>22</v>
      </c>
      <c r="B15" s="3" t="s">
        <v>343</v>
      </c>
      <c r="D15">
        <v>1137</v>
      </c>
      <c r="E15" s="2" t="s">
        <v>395</v>
      </c>
    </row>
    <row r="16" spans="1:6" x14ac:dyDescent="0.2">
      <c r="A16" t="s">
        <v>22</v>
      </c>
      <c r="B16" s="3" t="s">
        <v>343</v>
      </c>
      <c r="D16">
        <v>1137</v>
      </c>
      <c r="E16" s="2" t="s">
        <v>395</v>
      </c>
    </row>
    <row r="17" spans="1:5" x14ac:dyDescent="0.2">
      <c r="A17" t="s">
        <v>22</v>
      </c>
      <c r="B17" s="3" t="s">
        <v>343</v>
      </c>
      <c r="D17">
        <v>1137</v>
      </c>
      <c r="E17" s="2" t="s">
        <v>395</v>
      </c>
    </row>
    <row r="18" spans="1:5" x14ac:dyDescent="0.2">
      <c r="A18" t="s">
        <v>22</v>
      </c>
      <c r="B18" s="3" t="s">
        <v>343</v>
      </c>
      <c r="D18">
        <v>1137</v>
      </c>
      <c r="E18" s="2" t="s">
        <v>395</v>
      </c>
    </row>
    <row r="19" spans="1:5" x14ac:dyDescent="0.2">
      <c r="A19" t="s">
        <v>22</v>
      </c>
      <c r="B19" s="3" t="s">
        <v>343</v>
      </c>
      <c r="D19">
        <v>1137</v>
      </c>
      <c r="E19" s="2" t="s">
        <v>395</v>
      </c>
    </row>
    <row r="20" spans="1:5" x14ac:dyDescent="0.2">
      <c r="A20" t="s">
        <v>22</v>
      </c>
      <c r="B20" s="3" t="s">
        <v>343</v>
      </c>
      <c r="D20">
        <v>1137</v>
      </c>
      <c r="E20" s="2" t="s">
        <v>395</v>
      </c>
    </row>
    <row r="21" spans="1:5" x14ac:dyDescent="0.2">
      <c r="A21" t="s">
        <v>22</v>
      </c>
      <c r="B21" s="3" t="s">
        <v>343</v>
      </c>
      <c r="D21">
        <v>1137</v>
      </c>
      <c r="E21" s="2" t="s">
        <v>395</v>
      </c>
    </row>
    <row r="22" spans="1:5" x14ac:dyDescent="0.2">
      <c r="A22" t="s">
        <v>22</v>
      </c>
      <c r="B22" s="3" t="s">
        <v>343</v>
      </c>
      <c r="D22">
        <v>1137</v>
      </c>
      <c r="E22" s="2" t="s">
        <v>395</v>
      </c>
    </row>
    <row r="23" spans="1:5" x14ac:dyDescent="0.2">
      <c r="A23" t="s">
        <v>22</v>
      </c>
      <c r="B23" s="3" t="s">
        <v>343</v>
      </c>
      <c r="D23">
        <v>1137</v>
      </c>
      <c r="E23" s="2" t="s">
        <v>395</v>
      </c>
    </row>
    <row r="24" spans="1:5" x14ac:dyDescent="0.2">
      <c r="A24" t="s">
        <v>23</v>
      </c>
      <c r="B24" s="3" t="s">
        <v>343</v>
      </c>
      <c r="D24">
        <v>900</v>
      </c>
      <c r="E24" s="2" t="s">
        <v>396</v>
      </c>
    </row>
    <row r="25" spans="1:5" x14ac:dyDescent="0.2">
      <c r="A25" t="s">
        <v>23</v>
      </c>
      <c r="B25" s="3" t="s">
        <v>343</v>
      </c>
      <c r="D25">
        <v>900</v>
      </c>
      <c r="E25" s="2" t="s">
        <v>396</v>
      </c>
    </row>
    <row r="26" spans="1:5" x14ac:dyDescent="0.2">
      <c r="A26" t="s">
        <v>23</v>
      </c>
      <c r="B26" s="3" t="s">
        <v>343</v>
      </c>
      <c r="D26">
        <v>900</v>
      </c>
      <c r="E26" s="2" t="s">
        <v>396</v>
      </c>
    </row>
    <row r="27" spans="1:5" x14ac:dyDescent="0.2">
      <c r="A27" t="s">
        <v>23</v>
      </c>
      <c r="B27" s="3" t="s">
        <v>343</v>
      </c>
      <c r="D27">
        <v>900</v>
      </c>
      <c r="E27" s="2" t="s">
        <v>396</v>
      </c>
    </row>
    <row r="28" spans="1:5" x14ac:dyDescent="0.2">
      <c r="A28" t="s">
        <v>23</v>
      </c>
      <c r="B28" s="3" t="s">
        <v>343</v>
      </c>
      <c r="D28">
        <v>900</v>
      </c>
      <c r="E28" s="2" t="s">
        <v>396</v>
      </c>
    </row>
    <row r="29" spans="1:5" x14ac:dyDescent="0.2">
      <c r="A29" t="s">
        <v>23</v>
      </c>
      <c r="B29" s="3" t="s">
        <v>343</v>
      </c>
      <c r="D29">
        <v>900</v>
      </c>
      <c r="E29" s="2" t="s">
        <v>396</v>
      </c>
    </row>
    <row r="30" spans="1:5" x14ac:dyDescent="0.2">
      <c r="A30" t="s">
        <v>23</v>
      </c>
      <c r="B30" s="3" t="s">
        <v>343</v>
      </c>
      <c r="D30">
        <v>900</v>
      </c>
      <c r="E30" s="2" t="s">
        <v>396</v>
      </c>
    </row>
    <row r="31" spans="1:5" x14ac:dyDescent="0.2">
      <c r="A31" t="s">
        <v>23</v>
      </c>
      <c r="B31" s="3" t="s">
        <v>343</v>
      </c>
      <c r="D31">
        <v>900</v>
      </c>
      <c r="E31" s="2" t="s">
        <v>396</v>
      </c>
    </row>
    <row r="32" spans="1:5" x14ac:dyDescent="0.2">
      <c r="A32" t="s">
        <v>23</v>
      </c>
      <c r="B32" s="3" t="s">
        <v>343</v>
      </c>
      <c r="D32">
        <v>900</v>
      </c>
      <c r="E32" s="2" t="s">
        <v>396</v>
      </c>
    </row>
    <row r="33" spans="1:6" x14ac:dyDescent="0.2">
      <c r="A33" t="s">
        <v>23</v>
      </c>
      <c r="B33" s="3" t="s">
        <v>343</v>
      </c>
      <c r="D33">
        <v>900</v>
      </c>
      <c r="E33" s="2" t="s">
        <v>396</v>
      </c>
    </row>
    <row r="34" spans="1:6" x14ac:dyDescent="0.2">
      <c r="A34" t="s">
        <v>23</v>
      </c>
      <c r="B34" s="3" t="s">
        <v>343</v>
      </c>
      <c r="D34">
        <v>900</v>
      </c>
      <c r="E34" s="2" t="s">
        <v>396</v>
      </c>
    </row>
    <row r="35" spans="1:6" x14ac:dyDescent="0.2">
      <c r="A35" t="s">
        <v>23</v>
      </c>
      <c r="B35" s="3" t="s">
        <v>343</v>
      </c>
      <c r="D35">
        <v>900</v>
      </c>
      <c r="E35" s="2" t="s">
        <v>396</v>
      </c>
    </row>
    <row r="36" spans="1:6" x14ac:dyDescent="0.2">
      <c r="A36" t="s">
        <v>23</v>
      </c>
      <c r="B36" s="3" t="s">
        <v>343</v>
      </c>
      <c r="D36">
        <v>900</v>
      </c>
      <c r="E36" s="2" t="s">
        <v>396</v>
      </c>
    </row>
    <row r="37" spans="1:6" x14ac:dyDescent="0.2">
      <c r="A37" t="s">
        <v>23</v>
      </c>
      <c r="B37" s="3" t="s">
        <v>343</v>
      </c>
      <c r="D37">
        <v>900</v>
      </c>
      <c r="E37" s="2" t="s">
        <v>396</v>
      </c>
    </row>
    <row r="38" spans="1:6" x14ac:dyDescent="0.2">
      <c r="A38" t="s">
        <v>23</v>
      </c>
      <c r="B38" s="3" t="s">
        <v>343</v>
      </c>
      <c r="D38">
        <v>900</v>
      </c>
      <c r="E38" s="2" t="s">
        <v>396</v>
      </c>
    </row>
    <row r="39" spans="1:6" x14ac:dyDescent="0.2">
      <c r="A39" t="s">
        <v>23</v>
      </c>
      <c r="B39" s="3" t="s">
        <v>343</v>
      </c>
      <c r="D39">
        <v>900</v>
      </c>
      <c r="E39" s="2" t="s">
        <v>396</v>
      </c>
    </row>
    <row r="40" spans="1:6" x14ac:dyDescent="0.2">
      <c r="A40" t="s">
        <v>23</v>
      </c>
      <c r="B40" s="3" t="s">
        <v>343</v>
      </c>
      <c r="D40">
        <v>900</v>
      </c>
      <c r="E40" s="2" t="s">
        <v>396</v>
      </c>
    </row>
    <row r="41" spans="1:6" x14ac:dyDescent="0.2">
      <c r="A41" t="s">
        <v>23</v>
      </c>
      <c r="B41" s="3" t="s">
        <v>343</v>
      </c>
      <c r="D41">
        <v>900</v>
      </c>
      <c r="E41" s="2" t="s">
        <v>396</v>
      </c>
    </row>
    <row r="42" spans="1:6" x14ac:dyDescent="0.2">
      <c r="A42" t="s">
        <v>23</v>
      </c>
      <c r="B42" s="3" t="s">
        <v>343</v>
      </c>
      <c r="D42">
        <v>900</v>
      </c>
      <c r="E42" s="2" t="s">
        <v>396</v>
      </c>
    </row>
    <row r="43" spans="1:6" x14ac:dyDescent="0.2">
      <c r="A43" t="s">
        <v>23</v>
      </c>
      <c r="B43" s="3" t="s">
        <v>343</v>
      </c>
      <c r="D43">
        <v>900</v>
      </c>
      <c r="E43" s="2" t="s">
        <v>396</v>
      </c>
    </row>
    <row r="44" spans="1:6" x14ac:dyDescent="0.2">
      <c r="A44" t="s">
        <v>23</v>
      </c>
      <c r="B44" s="3" t="s">
        <v>343</v>
      </c>
      <c r="D44">
        <v>900</v>
      </c>
      <c r="E44" s="2" t="s">
        <v>396</v>
      </c>
    </row>
    <row r="45" spans="1:6" x14ac:dyDescent="0.2">
      <c r="A45" t="s">
        <v>23</v>
      </c>
      <c r="B45" s="3" t="s">
        <v>343</v>
      </c>
      <c r="D45">
        <v>900</v>
      </c>
      <c r="E45" s="2" t="s">
        <v>396</v>
      </c>
    </row>
    <row r="46" spans="1:6" x14ac:dyDescent="0.2">
      <c r="A46" t="s">
        <v>70</v>
      </c>
      <c r="B46" s="3" t="s">
        <v>343</v>
      </c>
      <c r="C46" t="s">
        <v>441</v>
      </c>
      <c r="D46">
        <v>395</v>
      </c>
      <c r="E46"/>
      <c r="F46" t="s">
        <v>441</v>
      </c>
    </row>
    <row r="47" spans="1:6" x14ac:dyDescent="0.2">
      <c r="A47" t="s">
        <v>72</v>
      </c>
      <c r="B47" s="3" t="s">
        <v>343</v>
      </c>
      <c r="E47" t="s">
        <v>276</v>
      </c>
    </row>
    <row r="48" spans="1:6" x14ac:dyDescent="0.2">
      <c r="A48" t="s">
        <v>72</v>
      </c>
      <c r="B48" s="3" t="s">
        <v>343</v>
      </c>
      <c r="E48" t="s">
        <v>276</v>
      </c>
    </row>
    <row r="49" spans="1:6" x14ac:dyDescent="0.2">
      <c r="A49" t="s">
        <v>72</v>
      </c>
      <c r="B49" s="3" t="s">
        <v>343</v>
      </c>
      <c r="E49" t="s">
        <v>276</v>
      </c>
    </row>
    <row r="50" spans="1:6" x14ac:dyDescent="0.2">
      <c r="A50" t="s">
        <v>106</v>
      </c>
      <c r="B50" s="3" t="s">
        <v>343</v>
      </c>
      <c r="C50" t="s">
        <v>444</v>
      </c>
      <c r="D50">
        <v>395</v>
      </c>
      <c r="E50"/>
      <c r="F50" t="s">
        <v>441</v>
      </c>
    </row>
    <row r="51" spans="1:6" x14ac:dyDescent="0.2">
      <c r="A51" t="s">
        <v>74</v>
      </c>
      <c r="B51" s="3" t="s">
        <v>343</v>
      </c>
      <c r="C51" t="s">
        <v>443</v>
      </c>
      <c r="D51">
        <v>395</v>
      </c>
      <c r="E51"/>
      <c r="F51" t="s">
        <v>441</v>
      </c>
    </row>
    <row r="52" spans="1:6" x14ac:dyDescent="0.2">
      <c r="A52" t="s">
        <v>74</v>
      </c>
      <c r="B52" s="3" t="s">
        <v>343</v>
      </c>
      <c r="C52" t="s">
        <v>443</v>
      </c>
      <c r="D52">
        <v>395</v>
      </c>
      <c r="E52"/>
      <c r="F52" t="s">
        <v>441</v>
      </c>
    </row>
    <row r="53" spans="1:6" x14ac:dyDescent="0.2">
      <c r="A53" t="s">
        <v>75</v>
      </c>
      <c r="B53" s="3" t="s">
        <v>48</v>
      </c>
      <c r="C53" t="s">
        <v>438</v>
      </c>
      <c r="E53"/>
    </row>
    <row r="54" spans="1:6" x14ac:dyDescent="0.2">
      <c r="A54" t="s">
        <v>75</v>
      </c>
      <c r="B54" s="3" t="s">
        <v>296</v>
      </c>
      <c r="C54" t="s">
        <v>438</v>
      </c>
      <c r="E54"/>
    </row>
    <row r="55" spans="1:6" x14ac:dyDescent="0.2">
      <c r="A55" t="s">
        <v>19</v>
      </c>
      <c r="B55" s="3" t="s">
        <v>46</v>
      </c>
      <c r="C55" t="s">
        <v>438</v>
      </c>
      <c r="E55"/>
    </row>
    <row r="56" spans="1:6" x14ac:dyDescent="0.2">
      <c r="A56" t="s">
        <v>19</v>
      </c>
      <c r="B56" s="3" t="s">
        <v>46</v>
      </c>
      <c r="C56" t="s">
        <v>438</v>
      </c>
      <c r="E56"/>
    </row>
    <row r="57" spans="1:6" x14ac:dyDescent="0.2">
      <c r="A57" t="s">
        <v>19</v>
      </c>
      <c r="B57" s="3" t="s">
        <v>46</v>
      </c>
      <c r="C57" t="s">
        <v>438</v>
      </c>
      <c r="E57"/>
    </row>
    <row r="58" spans="1:6" x14ac:dyDescent="0.2">
      <c r="A58" t="s">
        <v>19</v>
      </c>
      <c r="B58" s="3" t="s">
        <v>46</v>
      </c>
      <c r="C58" t="s">
        <v>438</v>
      </c>
      <c r="E58"/>
    </row>
    <row r="59" spans="1:6" x14ac:dyDescent="0.2">
      <c r="A59" t="s">
        <v>24</v>
      </c>
      <c r="B59" s="10" t="s">
        <v>343</v>
      </c>
      <c r="C59" t="s">
        <v>442</v>
      </c>
      <c r="D59">
        <v>200</v>
      </c>
      <c r="E59" s="8">
        <v>2.5</v>
      </c>
      <c r="F59" t="s">
        <v>445</v>
      </c>
    </row>
    <row r="60" spans="1:6" x14ac:dyDescent="0.2">
      <c r="A60" t="s">
        <v>24</v>
      </c>
      <c r="B60" s="10" t="s">
        <v>343</v>
      </c>
      <c r="C60" t="s">
        <v>442</v>
      </c>
      <c r="D60">
        <v>200</v>
      </c>
      <c r="E60" s="8">
        <v>2.5</v>
      </c>
      <c r="F60" t="s">
        <v>445</v>
      </c>
    </row>
    <row r="61" spans="1:6" x14ac:dyDescent="0.2">
      <c r="A61" t="s">
        <v>375</v>
      </c>
      <c r="B61" s="3" t="s">
        <v>46</v>
      </c>
      <c r="C61" t="s">
        <v>438</v>
      </c>
      <c r="E61"/>
    </row>
    <row r="62" spans="1:6" x14ac:dyDescent="0.2">
      <c r="A62" t="s">
        <v>375</v>
      </c>
      <c r="B62" s="3" t="s">
        <v>378</v>
      </c>
      <c r="C62" t="s">
        <v>438</v>
      </c>
      <c r="E62"/>
    </row>
    <row r="63" spans="1:6" x14ac:dyDescent="0.2">
      <c r="A63" t="s">
        <v>375</v>
      </c>
      <c r="B63" s="3" t="s">
        <v>383</v>
      </c>
      <c r="C63" t="s">
        <v>438</v>
      </c>
      <c r="E63"/>
    </row>
    <row r="64" spans="1:6" x14ac:dyDescent="0.2">
      <c r="A64" t="s">
        <v>375</v>
      </c>
      <c r="B64" s="3" t="s">
        <v>46</v>
      </c>
      <c r="C64" t="s">
        <v>438</v>
      </c>
      <c r="E64"/>
    </row>
    <row r="65" spans="1:5" x14ac:dyDescent="0.2">
      <c r="A65" t="s">
        <v>375</v>
      </c>
      <c r="B65" s="3" t="s">
        <v>378</v>
      </c>
      <c r="C65" t="s">
        <v>438</v>
      </c>
      <c r="E65"/>
    </row>
    <row r="66" spans="1:5" x14ac:dyDescent="0.2">
      <c r="A66" t="s">
        <v>375</v>
      </c>
      <c r="B66" s="3" t="s">
        <v>46</v>
      </c>
      <c r="C66" t="s">
        <v>438</v>
      </c>
      <c r="E66"/>
    </row>
    <row r="67" spans="1:5" x14ac:dyDescent="0.2">
      <c r="A67" t="s">
        <v>375</v>
      </c>
      <c r="B67" s="3" t="s">
        <v>46</v>
      </c>
      <c r="C67" t="s">
        <v>438</v>
      </c>
      <c r="E6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E16D7-D216-D54E-9BB0-ED891490F112}">
  <dimension ref="A1:BE59"/>
  <sheetViews>
    <sheetView topLeftCell="I1" zoomScale="131" workbookViewId="0">
      <selection activeCell="AJ16" sqref="AJ16:AN17"/>
    </sheetView>
  </sheetViews>
  <sheetFormatPr baseColWidth="10" defaultRowHeight="16" x14ac:dyDescent="0.2"/>
  <sheetData>
    <row r="1" spans="1:57" s="4" customFormat="1" ht="45" customHeight="1" x14ac:dyDescent="0.2">
      <c r="A1" s="4" t="s">
        <v>0</v>
      </c>
      <c r="B1" t="s">
        <v>313</v>
      </c>
      <c r="C1" t="s">
        <v>312</v>
      </c>
      <c r="D1" s="4" t="s">
        <v>1</v>
      </c>
      <c r="E1" s="4" t="s">
        <v>2</v>
      </c>
      <c r="F1" s="4" t="s">
        <v>135</v>
      </c>
      <c r="G1" s="4" t="s">
        <v>134</v>
      </c>
      <c r="H1" s="4" t="s">
        <v>41</v>
      </c>
      <c r="I1" s="4" t="s">
        <v>344</v>
      </c>
      <c r="J1" s="4" t="s">
        <v>37</v>
      </c>
      <c r="K1" s="4" t="s">
        <v>36</v>
      </c>
      <c r="L1" s="4" t="s">
        <v>111</v>
      </c>
      <c r="M1" s="4" t="s">
        <v>347</v>
      </c>
      <c r="N1" s="5" t="s">
        <v>82</v>
      </c>
      <c r="O1" t="s">
        <v>425</v>
      </c>
      <c r="P1" t="s">
        <v>424</v>
      </c>
      <c r="Q1" s="5" t="s">
        <v>77</v>
      </c>
      <c r="R1" s="5" t="s">
        <v>81</v>
      </c>
      <c r="S1" t="s">
        <v>425</v>
      </c>
      <c r="T1" t="s">
        <v>424</v>
      </c>
      <c r="U1" s="5" t="s">
        <v>76</v>
      </c>
      <c r="V1" s="5" t="s">
        <v>398</v>
      </c>
      <c r="W1" s="5" t="s">
        <v>394</v>
      </c>
      <c r="X1" s="5" t="s">
        <v>415</v>
      </c>
      <c r="Y1" s="5" t="s">
        <v>399</v>
      </c>
      <c r="Z1" s="5" t="s">
        <v>400</v>
      </c>
      <c r="AA1" s="5" t="s">
        <v>417</v>
      </c>
      <c r="AB1" s="5" t="s">
        <v>328</v>
      </c>
      <c r="AC1" t="s">
        <v>425</v>
      </c>
      <c r="AD1" t="s">
        <v>424</v>
      </c>
      <c r="AE1" s="5" t="s">
        <v>329</v>
      </c>
      <c r="AF1" s="5" t="s">
        <v>330</v>
      </c>
      <c r="AG1" t="s">
        <v>425</v>
      </c>
      <c r="AH1" t="s">
        <v>424</v>
      </c>
      <c r="AI1" s="5" t="s">
        <v>331</v>
      </c>
      <c r="AJ1" s="6" t="s">
        <v>112</v>
      </c>
      <c r="AK1" s="6" t="s">
        <v>183</v>
      </c>
      <c r="AL1" s="6" t="s">
        <v>91</v>
      </c>
      <c r="AM1" s="6" t="s">
        <v>315</v>
      </c>
      <c r="AN1" s="6" t="s">
        <v>316</v>
      </c>
      <c r="AO1" s="6" t="s">
        <v>318</v>
      </c>
      <c r="AP1" s="7" t="s">
        <v>93</v>
      </c>
      <c r="AQ1" s="7" t="s">
        <v>342</v>
      </c>
      <c r="AR1" s="7" t="s">
        <v>40</v>
      </c>
      <c r="AS1" s="7" t="s">
        <v>7</v>
      </c>
      <c r="AT1" s="7" t="s">
        <v>8</v>
      </c>
      <c r="AU1" s="7" t="s">
        <v>9</v>
      </c>
      <c r="AV1" s="7" t="s">
        <v>10</v>
      </c>
      <c r="AW1" s="7" t="s">
        <v>11</v>
      </c>
      <c r="AX1" s="4" t="s">
        <v>12</v>
      </c>
      <c r="AY1" s="4" t="s">
        <v>13</v>
      </c>
      <c r="AZ1" s="4" t="s">
        <v>169</v>
      </c>
      <c r="BA1" s="4" t="s">
        <v>416</v>
      </c>
      <c r="BB1" s="4" t="s">
        <v>14</v>
      </c>
      <c r="BC1" s="4" t="s">
        <v>397</v>
      </c>
      <c r="BD1" s="4" t="s">
        <v>401</v>
      </c>
      <c r="BE1" s="4" t="s">
        <v>184</v>
      </c>
    </row>
    <row r="2" spans="1:57" x14ac:dyDescent="0.2">
      <c r="A2" t="s">
        <v>375</v>
      </c>
      <c r="B2">
        <v>14</v>
      </c>
      <c r="C2">
        <v>2016</v>
      </c>
      <c r="D2" t="s">
        <v>15</v>
      </c>
      <c r="E2" t="s">
        <v>374</v>
      </c>
      <c r="F2">
        <v>102</v>
      </c>
      <c r="G2">
        <v>99</v>
      </c>
      <c r="H2">
        <v>6.4</v>
      </c>
      <c r="I2" t="s">
        <v>345</v>
      </c>
      <c r="J2" t="s">
        <v>38</v>
      </c>
      <c r="K2" t="s">
        <v>377</v>
      </c>
      <c r="L2">
        <v>40</v>
      </c>
      <c r="M2">
        <f t="shared" ref="M2:M6" si="0">((N2*G2)+(R2*F2))/(G2+F2)</f>
        <v>4.0644776119402986</v>
      </c>
      <c r="N2" s="2">
        <v>4.0999999999999996</v>
      </c>
      <c r="O2" s="2">
        <v>3.84</v>
      </c>
      <c r="P2" s="2">
        <v>4.4000000000000004</v>
      </c>
      <c r="Q2">
        <f>(P2-O2)/(2*_xlfn.T.INV.2T(0.05, G2-1))*SQRT(G2)</f>
        <v>1.4038853686257999</v>
      </c>
      <c r="R2" s="2">
        <v>4.03</v>
      </c>
      <c r="S2" s="2">
        <v>3.78</v>
      </c>
      <c r="T2" s="2">
        <v>4.3099999999999996</v>
      </c>
      <c r="U2">
        <f>(T2-S2)/(2*_xlfn.T.INV.2T(0.05, F2-1))*SQRT(F2)</f>
        <v>1.3491591373418921</v>
      </c>
      <c r="W2" s="2">
        <v>32</v>
      </c>
      <c r="X2" s="12">
        <v>21</v>
      </c>
      <c r="Y2" s="2">
        <v>11.5</v>
      </c>
      <c r="Z2" s="2">
        <v>17</v>
      </c>
      <c r="AA2" s="12">
        <v>21</v>
      </c>
      <c r="AB2" s="2">
        <v>3.3</v>
      </c>
      <c r="AC2" s="2">
        <v>3.11</v>
      </c>
      <c r="AD2" s="2">
        <v>3.48</v>
      </c>
      <c r="AE2">
        <f>(AD2-AC2)/(2*_xlfn.T.INV.2T(0.05, G2-1))*SQRT(G2)</f>
        <v>0.92756711855633145</v>
      </c>
      <c r="AF2" s="2">
        <v>3.66</v>
      </c>
      <c r="AG2" s="2">
        <v>3.47</v>
      </c>
      <c r="AH2" s="2">
        <v>3.86</v>
      </c>
      <c r="AI2">
        <f>(AH2-AG2)/(2*_xlfn.T.INV.2T(0.05, F2-1))*SQRT(F2)</f>
        <v>0.99277747842139175</v>
      </c>
      <c r="AJ2" s="9">
        <f t="shared" ref="AJ2:AJ4" si="1">(AB2-N2)-(AF2-R2)</f>
        <v>-0.42999999999999972</v>
      </c>
      <c r="AK2" s="9">
        <f t="shared" ref="AK2:AK4" si="2">SQRT((AI2^2)/F2 + (AE2^2)/G2)</f>
        <v>0.13547519942752745</v>
      </c>
      <c r="AL2" s="9">
        <f t="shared" ref="AL2:AL6" si="3">_xlfn.T.DIST.2T(ABS(AJ2/AK2), F2+G2-2)</f>
        <v>1.742196155861873E-3</v>
      </c>
      <c r="AM2" s="1"/>
      <c r="AN2" s="1"/>
      <c r="AO2" s="1" t="s">
        <v>427</v>
      </c>
      <c r="AP2" s="3" t="s">
        <v>382</v>
      </c>
      <c r="AQ2" s="3" t="s">
        <v>46</v>
      </c>
      <c r="AR2" s="3" t="s">
        <v>384</v>
      </c>
      <c r="AS2" s="3" t="s">
        <v>412</v>
      </c>
      <c r="AT2" t="s">
        <v>389</v>
      </c>
      <c r="AU2" s="3" t="s">
        <v>390</v>
      </c>
      <c r="AV2" s="3" t="s">
        <v>275</v>
      </c>
      <c r="AW2" s="3" t="s">
        <v>109</v>
      </c>
      <c r="AX2" s="14" t="s">
        <v>391</v>
      </c>
      <c r="AY2" s="14" t="s">
        <v>110</v>
      </c>
      <c r="AZ2" s="14" t="s">
        <v>392</v>
      </c>
      <c r="BA2">
        <v>97</v>
      </c>
      <c r="BB2" s="15" t="s">
        <v>393</v>
      </c>
      <c r="BC2" t="s">
        <v>411</v>
      </c>
      <c r="BD2" s="13" t="s">
        <v>376</v>
      </c>
      <c r="BE2" s="13" t="s">
        <v>46</v>
      </c>
    </row>
    <row r="3" spans="1:57" x14ac:dyDescent="0.2">
      <c r="A3" t="s">
        <v>375</v>
      </c>
      <c r="B3">
        <v>14</v>
      </c>
      <c r="C3">
        <v>2016</v>
      </c>
      <c r="D3" t="s">
        <v>15</v>
      </c>
      <c r="E3" t="s">
        <v>374</v>
      </c>
      <c r="F3">
        <v>102</v>
      </c>
      <c r="G3">
        <v>103</v>
      </c>
      <c r="H3">
        <v>6.4</v>
      </c>
      <c r="I3" t="s">
        <v>345</v>
      </c>
      <c r="J3" t="s">
        <v>38</v>
      </c>
      <c r="K3" t="s">
        <v>377</v>
      </c>
      <c r="L3">
        <v>36</v>
      </c>
      <c r="M3">
        <f t="shared" si="0"/>
        <v>4.281219512195122</v>
      </c>
      <c r="N3" s="2">
        <v>4.53</v>
      </c>
      <c r="O3" s="2">
        <v>4.24</v>
      </c>
      <c r="P3" s="2">
        <v>4.84</v>
      </c>
      <c r="Q3">
        <f t="shared" ref="Q3:Q4" si="4">(P3-O3)/(2*_xlfn.T.INV.2T(0.05, G3-1))*SQRT(G3)</f>
        <v>1.5350011331681441</v>
      </c>
      <c r="R3" s="2">
        <v>4.03</v>
      </c>
      <c r="S3" s="2">
        <v>3.78</v>
      </c>
      <c r="T3" s="2">
        <v>4.3099999999999996</v>
      </c>
      <c r="U3">
        <f t="shared" ref="U3:U4" si="5">(T3-S3)/(2*_xlfn.T.INV.2T(0.05, F3-1))*SQRT(F3)</f>
        <v>1.3491591373418921</v>
      </c>
      <c r="W3" s="2">
        <v>32</v>
      </c>
      <c r="X3" s="12">
        <v>21</v>
      </c>
      <c r="Y3" s="2">
        <v>11.5</v>
      </c>
      <c r="Z3" s="2">
        <v>17</v>
      </c>
      <c r="AA3" s="12">
        <v>21</v>
      </c>
      <c r="AB3" s="2">
        <v>3.29</v>
      </c>
      <c r="AC3" s="2">
        <v>3.09</v>
      </c>
      <c r="AD3" s="2">
        <v>3.49</v>
      </c>
      <c r="AE3">
        <f t="shared" ref="AE3:AE4" si="6">(AD3-AC3)/(2*_xlfn.T.INV.2T(0.05, G3-1))*SQRT(G3)</f>
        <v>1.0233340887787643</v>
      </c>
      <c r="AF3" s="2">
        <v>3.66</v>
      </c>
      <c r="AG3" s="2">
        <v>3.47</v>
      </c>
      <c r="AH3" s="2">
        <v>3.86</v>
      </c>
      <c r="AI3">
        <f t="shared" ref="AI3:AI4" si="7">(AH3-AG3)/(2*_xlfn.T.INV.2T(0.05, F3-1))*SQRT(F3)</f>
        <v>0.99277747842139175</v>
      </c>
      <c r="AJ3" s="9">
        <f t="shared" si="1"/>
        <v>-0.87000000000000011</v>
      </c>
      <c r="AK3" s="9">
        <f t="shared" si="2"/>
        <v>0.14081877749608424</v>
      </c>
      <c r="AL3" s="9">
        <f t="shared" si="3"/>
        <v>3.4869802230392039E-9</v>
      </c>
      <c r="AM3" s="1"/>
      <c r="AN3" s="1"/>
      <c r="AO3" s="1" t="s">
        <v>427</v>
      </c>
      <c r="AP3" s="3" t="s">
        <v>382</v>
      </c>
      <c r="AQ3" s="3" t="s">
        <v>378</v>
      </c>
      <c r="AR3" s="3" t="s">
        <v>385</v>
      </c>
      <c r="AS3" s="3" t="s">
        <v>413</v>
      </c>
      <c r="AT3" t="s">
        <v>389</v>
      </c>
      <c r="AU3" s="3" t="s">
        <v>390</v>
      </c>
      <c r="AV3" s="3" t="s">
        <v>275</v>
      </c>
      <c r="AW3" s="3" t="s">
        <v>109</v>
      </c>
      <c r="AX3" s="14" t="s">
        <v>391</v>
      </c>
      <c r="AY3" s="14" t="s">
        <v>110</v>
      </c>
      <c r="AZ3" s="14" t="s">
        <v>392</v>
      </c>
      <c r="BA3">
        <v>97</v>
      </c>
      <c r="BB3" s="15" t="s">
        <v>393</v>
      </c>
      <c r="BC3" t="s">
        <v>411</v>
      </c>
      <c r="BD3" s="13" t="s">
        <v>376</v>
      </c>
      <c r="BE3" s="13" t="s">
        <v>378</v>
      </c>
    </row>
    <row r="4" spans="1:57" x14ac:dyDescent="0.2">
      <c r="A4" t="s">
        <v>375</v>
      </c>
      <c r="B4">
        <v>14</v>
      </c>
      <c r="C4">
        <v>2016</v>
      </c>
      <c r="D4" t="s">
        <v>15</v>
      </c>
      <c r="E4" t="s">
        <v>374</v>
      </c>
      <c r="F4">
        <v>102</v>
      </c>
      <c r="G4">
        <v>105</v>
      </c>
      <c r="H4">
        <v>6.4</v>
      </c>
      <c r="I4" t="s">
        <v>345</v>
      </c>
      <c r="J4" t="s">
        <v>38</v>
      </c>
      <c r="K4" t="s">
        <v>377</v>
      </c>
      <c r="L4">
        <v>40</v>
      </c>
      <c r="M4">
        <f t="shared" si="0"/>
        <v>4.2227536231884057</v>
      </c>
      <c r="N4" s="2">
        <v>4.41</v>
      </c>
      <c r="O4" s="2">
        <v>4.09</v>
      </c>
      <c r="P4" s="2">
        <v>4.74</v>
      </c>
      <c r="Q4">
        <f t="shared" si="4"/>
        <v>1.6793726565739784</v>
      </c>
      <c r="R4" s="2">
        <v>4.03</v>
      </c>
      <c r="S4" s="2">
        <v>3.78</v>
      </c>
      <c r="T4" s="2">
        <v>4.3099999999999996</v>
      </c>
      <c r="U4">
        <f t="shared" si="5"/>
        <v>1.3491591373418921</v>
      </c>
      <c r="W4" s="2">
        <v>32</v>
      </c>
      <c r="X4" s="12">
        <v>21</v>
      </c>
      <c r="Y4" s="2">
        <v>11.5</v>
      </c>
      <c r="Z4" s="2">
        <v>17</v>
      </c>
      <c r="AA4" s="12">
        <v>21</v>
      </c>
      <c r="AB4" s="2">
        <v>2.87</v>
      </c>
      <c r="AC4" s="2">
        <v>2.71</v>
      </c>
      <c r="AD4" s="2">
        <v>3.04</v>
      </c>
      <c r="AE4">
        <f t="shared" si="6"/>
        <v>0.852604579491404</v>
      </c>
      <c r="AF4" s="2">
        <v>3.66</v>
      </c>
      <c r="AG4" s="2">
        <v>3.47</v>
      </c>
      <c r="AH4" s="2">
        <v>3.86</v>
      </c>
      <c r="AI4">
        <f t="shared" si="7"/>
        <v>0.99277747842139175</v>
      </c>
      <c r="AJ4" s="9">
        <f t="shared" si="1"/>
        <v>-1.17</v>
      </c>
      <c r="AK4" s="9">
        <f t="shared" si="2"/>
        <v>0.12878665027627145</v>
      </c>
      <c r="AL4" s="9">
        <f t="shared" si="3"/>
        <v>8.9270746036461709E-17</v>
      </c>
      <c r="AM4" s="1"/>
      <c r="AN4" s="1"/>
      <c r="AO4" s="1" t="s">
        <v>427</v>
      </c>
      <c r="AP4" s="3" t="s">
        <v>382</v>
      </c>
      <c r="AQ4" s="3" t="s">
        <v>383</v>
      </c>
      <c r="AR4" s="3" t="s">
        <v>386</v>
      </c>
      <c r="AS4" s="3" t="s">
        <v>414</v>
      </c>
      <c r="AT4" t="s">
        <v>389</v>
      </c>
      <c r="AU4" s="3" t="s">
        <v>390</v>
      </c>
      <c r="AV4" s="3" t="s">
        <v>275</v>
      </c>
      <c r="AW4" s="3" t="s">
        <v>109</v>
      </c>
      <c r="AX4" s="14" t="s">
        <v>391</v>
      </c>
      <c r="AY4" s="14" t="s">
        <v>110</v>
      </c>
      <c r="AZ4" s="14" t="s">
        <v>392</v>
      </c>
      <c r="BA4">
        <v>97</v>
      </c>
      <c r="BB4" s="15" t="s">
        <v>393</v>
      </c>
      <c r="BC4" t="s">
        <v>411</v>
      </c>
      <c r="BD4" s="13" t="s">
        <v>376</v>
      </c>
      <c r="BE4" s="13" t="s">
        <v>379</v>
      </c>
    </row>
    <row r="5" spans="1:57" x14ac:dyDescent="0.2">
      <c r="A5" t="s">
        <v>375</v>
      </c>
      <c r="B5">
        <v>14</v>
      </c>
      <c r="C5">
        <v>2016</v>
      </c>
      <c r="D5" t="s">
        <v>15</v>
      </c>
      <c r="E5" t="s">
        <v>374</v>
      </c>
      <c r="F5">
        <v>229</v>
      </c>
      <c r="G5">
        <v>226</v>
      </c>
      <c r="H5">
        <v>6.4</v>
      </c>
      <c r="I5" t="s">
        <v>345</v>
      </c>
      <c r="J5" t="s">
        <v>38</v>
      </c>
      <c r="K5" t="s">
        <v>377</v>
      </c>
      <c r="L5">
        <v>40</v>
      </c>
      <c r="M5">
        <f t="shared" si="0"/>
        <v>4.2675824175824175</v>
      </c>
      <c r="N5" s="2">
        <f>AVERAGE(4.1,4.41)</f>
        <v>4.2549999999999999</v>
      </c>
      <c r="O5" s="2"/>
      <c r="P5" s="2"/>
      <c r="Q5" s="2"/>
      <c r="R5" s="2">
        <f>AVERAGE(4.53,4.03)</f>
        <v>4.28</v>
      </c>
      <c r="S5" s="2"/>
      <c r="T5" s="2"/>
      <c r="U5" s="2"/>
      <c r="W5" s="2">
        <v>32</v>
      </c>
      <c r="X5" s="12">
        <v>21</v>
      </c>
      <c r="Y5" s="2">
        <v>11.5</v>
      </c>
      <c r="Z5" s="2">
        <v>17</v>
      </c>
      <c r="AA5" s="12">
        <v>21</v>
      </c>
      <c r="AB5" s="2">
        <f>AVERAGE(3.3,2.87)</f>
        <v>3.085</v>
      </c>
      <c r="AC5" s="2"/>
      <c r="AD5" s="2"/>
      <c r="AE5" s="2"/>
      <c r="AF5" s="2">
        <f>AVERAGE(3.29,3.66)</f>
        <v>3.4750000000000001</v>
      </c>
      <c r="AG5" s="2"/>
      <c r="AH5" s="2"/>
      <c r="AI5" s="2"/>
      <c r="AJ5" s="1">
        <f>EXP(-0.046) - 1</f>
        <v>-4.4958037809285312E-2</v>
      </c>
      <c r="AK5" s="1">
        <f>(AN5-AM5)/(2*_xlfn.T.INV.2T(0.05, F5+G5-1))</f>
        <v>1.5804909045296096E-2</v>
      </c>
      <c r="AL5" s="9">
        <f t="shared" si="3"/>
        <v>4.648687028822234E-3</v>
      </c>
      <c r="AM5" s="1">
        <f>EXP(-0.078) - 1</f>
        <v>-7.5035573456460725E-2</v>
      </c>
      <c r="AN5" s="1">
        <f>EXP(-0.013)-1</f>
        <v>-1.2915864979712421E-2</v>
      </c>
      <c r="AO5" s="1" t="s">
        <v>428</v>
      </c>
      <c r="AP5" s="3" t="s">
        <v>382</v>
      </c>
      <c r="AQ5" s="3" t="s">
        <v>46</v>
      </c>
      <c r="AR5" s="3" t="s">
        <v>387</v>
      </c>
      <c r="AS5" s="3" t="s">
        <v>412</v>
      </c>
      <c r="AT5" t="s">
        <v>389</v>
      </c>
      <c r="AU5" s="3" t="s">
        <v>390</v>
      </c>
      <c r="AV5" s="3" t="s">
        <v>275</v>
      </c>
      <c r="AW5" s="3" t="s">
        <v>109</v>
      </c>
      <c r="AX5" s="14" t="s">
        <v>391</v>
      </c>
      <c r="AY5" s="14" t="s">
        <v>110</v>
      </c>
      <c r="AZ5" s="14" t="s">
        <v>392</v>
      </c>
      <c r="BA5">
        <v>97</v>
      </c>
      <c r="BB5" s="15" t="s">
        <v>393</v>
      </c>
      <c r="BC5" t="s">
        <v>411</v>
      </c>
      <c r="BD5" s="13" t="s">
        <v>376</v>
      </c>
      <c r="BE5" s="13" t="s">
        <v>380</v>
      </c>
    </row>
    <row r="6" spans="1:57" x14ac:dyDescent="0.2">
      <c r="A6" t="s">
        <v>375</v>
      </c>
      <c r="B6">
        <v>14</v>
      </c>
      <c r="C6">
        <v>2016</v>
      </c>
      <c r="D6" t="s">
        <v>15</v>
      </c>
      <c r="E6" t="s">
        <v>374</v>
      </c>
      <c r="F6">
        <v>228</v>
      </c>
      <c r="G6">
        <v>227</v>
      </c>
      <c r="H6">
        <v>6.4</v>
      </c>
      <c r="I6" t="s">
        <v>345</v>
      </c>
      <c r="J6" t="s">
        <v>38</v>
      </c>
      <c r="K6" t="s">
        <v>377</v>
      </c>
      <c r="L6">
        <v>40</v>
      </c>
      <c r="M6">
        <f t="shared" si="0"/>
        <v>4.2670549450549453</v>
      </c>
      <c r="N6" s="2">
        <f>AVERAGE(4.53,4.41)</f>
        <v>4.4700000000000006</v>
      </c>
      <c r="O6" s="2"/>
      <c r="P6" s="2"/>
      <c r="Q6" s="2"/>
      <c r="R6" s="2">
        <f>AVERAGE(4.1,4.03)</f>
        <v>4.0649999999999995</v>
      </c>
      <c r="S6" s="2"/>
      <c r="T6" s="2"/>
      <c r="U6" s="2"/>
      <c r="W6" s="2">
        <v>32</v>
      </c>
      <c r="X6" s="12">
        <v>21</v>
      </c>
      <c r="Y6" s="2">
        <v>11.5</v>
      </c>
      <c r="Z6" s="2">
        <v>17</v>
      </c>
      <c r="AA6" s="12">
        <v>21</v>
      </c>
      <c r="AB6" s="2">
        <f>AVERAGE(3.29,2.87)</f>
        <v>3.08</v>
      </c>
      <c r="AC6" s="2"/>
      <c r="AD6" s="2"/>
      <c r="AE6" s="2"/>
      <c r="AF6" s="2">
        <f>AVERAGE(3.3,3.66)</f>
        <v>3.48</v>
      </c>
      <c r="AG6" s="2"/>
      <c r="AH6" s="2"/>
      <c r="AI6" s="2"/>
      <c r="AJ6" s="1">
        <f>EXP(-0.047) - 1</f>
        <v>-4.5912602409628911E-2</v>
      </c>
      <c r="AK6" s="1">
        <f>(AN6-AM6)/(2*_xlfn.T.INV.2T(0.05, F6+G6-1))</f>
        <v>1.6275109880176216E-2</v>
      </c>
      <c r="AL6" s="9">
        <f t="shared" si="3"/>
        <v>4.997248670604101E-3</v>
      </c>
      <c r="AM6" s="1">
        <f>EXP(-0.08) - 1</f>
        <v>-7.6883653613364245E-2</v>
      </c>
      <c r="AN6" s="1">
        <f>EXP(-0.013)-1</f>
        <v>-1.2915864979712421E-2</v>
      </c>
      <c r="AO6" s="1" t="s">
        <v>428</v>
      </c>
      <c r="AP6" s="3" t="s">
        <v>382</v>
      </c>
      <c r="AQ6" s="3" t="s">
        <v>378</v>
      </c>
      <c r="AR6" s="3" t="s">
        <v>388</v>
      </c>
      <c r="AS6" s="3" t="s">
        <v>413</v>
      </c>
      <c r="AT6" t="s">
        <v>389</v>
      </c>
      <c r="AU6" s="3" t="s">
        <v>390</v>
      </c>
      <c r="AV6" s="3" t="s">
        <v>275</v>
      </c>
      <c r="AW6" s="3" t="s">
        <v>109</v>
      </c>
      <c r="AX6" s="14" t="s">
        <v>391</v>
      </c>
      <c r="AY6" s="14" t="s">
        <v>110</v>
      </c>
      <c r="AZ6" s="14" t="s">
        <v>392</v>
      </c>
      <c r="BA6">
        <v>97</v>
      </c>
      <c r="BB6" s="15" t="s">
        <v>393</v>
      </c>
      <c r="BC6" t="s">
        <v>411</v>
      </c>
      <c r="BD6" s="13" t="s">
        <v>376</v>
      </c>
      <c r="BE6" s="13" t="s">
        <v>381</v>
      </c>
    </row>
    <row r="11" spans="1:57" x14ac:dyDescent="0.2">
      <c r="M11" t="s">
        <v>426</v>
      </c>
    </row>
    <row r="12" spans="1:57" s="4" customFormat="1" ht="45" customHeight="1" x14ac:dyDescent="0.2">
      <c r="A12" s="4" t="s">
        <v>0</v>
      </c>
      <c r="B12" t="s">
        <v>313</v>
      </c>
      <c r="C12" t="s">
        <v>312</v>
      </c>
      <c r="D12" s="4" t="s">
        <v>1</v>
      </c>
      <c r="E12" s="4" t="s">
        <v>2</v>
      </c>
      <c r="F12" s="4" t="s">
        <v>135</v>
      </c>
      <c r="G12" s="4" t="s">
        <v>134</v>
      </c>
      <c r="H12" s="4" t="s">
        <v>41</v>
      </c>
      <c r="I12" s="4" t="s">
        <v>344</v>
      </c>
      <c r="J12" s="4" t="s">
        <v>37</v>
      </c>
      <c r="K12" s="4" t="s">
        <v>36</v>
      </c>
      <c r="L12" s="4" t="s">
        <v>111</v>
      </c>
      <c r="M12" s="4" t="s">
        <v>347</v>
      </c>
      <c r="N12" s="5" t="s">
        <v>82</v>
      </c>
      <c r="O12" t="s">
        <v>425</v>
      </c>
      <c r="P12" t="s">
        <v>424</v>
      </c>
      <c r="Q12" s="5" t="s">
        <v>77</v>
      </c>
      <c r="R12" s="5" t="s">
        <v>81</v>
      </c>
      <c r="S12" t="s">
        <v>425</v>
      </c>
      <c r="T12" t="s">
        <v>424</v>
      </c>
      <c r="U12" s="5" t="s">
        <v>76</v>
      </c>
      <c r="V12" s="5" t="s">
        <v>398</v>
      </c>
      <c r="W12" s="5" t="s">
        <v>394</v>
      </c>
      <c r="X12" s="5" t="s">
        <v>415</v>
      </c>
      <c r="Y12" s="5" t="s">
        <v>399</v>
      </c>
      <c r="Z12" s="5" t="s">
        <v>400</v>
      </c>
      <c r="AA12" s="5" t="s">
        <v>417</v>
      </c>
      <c r="AB12" s="5" t="s">
        <v>328</v>
      </c>
      <c r="AC12" t="s">
        <v>425</v>
      </c>
      <c r="AD12" t="s">
        <v>424</v>
      </c>
      <c r="AE12" s="5" t="s">
        <v>329</v>
      </c>
      <c r="AF12" s="5" t="s">
        <v>330</v>
      </c>
      <c r="AG12" t="s">
        <v>425</v>
      </c>
      <c r="AH12" t="s">
        <v>424</v>
      </c>
      <c r="AI12" s="5" t="s">
        <v>331</v>
      </c>
      <c r="AJ12" s="6" t="s">
        <v>112</v>
      </c>
      <c r="AK12" s="6" t="s">
        <v>183</v>
      </c>
      <c r="AL12" s="6" t="s">
        <v>91</v>
      </c>
      <c r="AM12" s="6" t="s">
        <v>315</v>
      </c>
      <c r="AN12" s="6" t="s">
        <v>316</v>
      </c>
      <c r="AO12" s="6" t="s">
        <v>318</v>
      </c>
      <c r="AP12" s="7" t="s">
        <v>93</v>
      </c>
      <c r="AQ12" s="7" t="s">
        <v>342</v>
      </c>
      <c r="AR12" s="7" t="s">
        <v>40</v>
      </c>
      <c r="AS12" s="7" t="s">
        <v>7</v>
      </c>
      <c r="AT12" s="7" t="s">
        <v>8</v>
      </c>
      <c r="AU12" s="7" t="s">
        <v>9</v>
      </c>
      <c r="AV12" s="7" t="s">
        <v>10</v>
      </c>
      <c r="AW12" s="7" t="s">
        <v>11</v>
      </c>
      <c r="AX12" s="4" t="s">
        <v>12</v>
      </c>
      <c r="AY12" s="4" t="s">
        <v>13</v>
      </c>
      <c r="AZ12" s="4" t="s">
        <v>169</v>
      </c>
      <c r="BA12" s="4" t="s">
        <v>416</v>
      </c>
      <c r="BB12" s="4" t="s">
        <v>14</v>
      </c>
      <c r="BC12" s="4" t="s">
        <v>397</v>
      </c>
      <c r="BD12" s="4" t="s">
        <v>401</v>
      </c>
      <c r="BE12" s="4" t="s">
        <v>184</v>
      </c>
    </row>
    <row r="13" spans="1:57" x14ac:dyDescent="0.2">
      <c r="A13" t="s">
        <v>375</v>
      </c>
      <c r="B13">
        <v>14</v>
      </c>
      <c r="C13">
        <v>2016</v>
      </c>
      <c r="D13" t="s">
        <v>15</v>
      </c>
      <c r="E13" t="s">
        <v>374</v>
      </c>
      <c r="F13">
        <v>102</v>
      </c>
      <c r="G13">
        <v>99</v>
      </c>
      <c r="H13">
        <v>6.4</v>
      </c>
      <c r="I13" t="s">
        <v>345</v>
      </c>
      <c r="J13" t="s">
        <v>38</v>
      </c>
      <c r="K13" t="s">
        <v>377</v>
      </c>
      <c r="L13">
        <v>40</v>
      </c>
      <c r="M13">
        <f t="shared" ref="M13:M17" si="8">((N13*G13)+(R13*F13))/(G13+F13)</f>
        <v>4.0644776119402986</v>
      </c>
      <c r="N13" s="2">
        <v>4.0999999999999996</v>
      </c>
      <c r="O13" s="2">
        <v>3.84</v>
      </c>
      <c r="P13" s="2">
        <v>4.4000000000000004</v>
      </c>
      <c r="Q13">
        <f>(P13-O13)/(2*_xlfn.T.INV.2T(0.05, G13-1))*SQRT(G13)</f>
        <v>1.4038853686257999</v>
      </c>
      <c r="R13" s="2">
        <v>4.03</v>
      </c>
      <c r="S13" s="2">
        <v>3.78</v>
      </c>
      <c r="T13" s="2">
        <v>4.3099999999999996</v>
      </c>
      <c r="U13">
        <f>(T13-S13)/(2*_xlfn.T.INV.2T(0.05, F13-1))*SQRT(F13)</f>
        <v>1.3491591373418921</v>
      </c>
      <c r="W13" s="2">
        <v>32</v>
      </c>
      <c r="X13" s="12">
        <v>21</v>
      </c>
      <c r="Y13" s="2">
        <v>11.5</v>
      </c>
      <c r="Z13" s="2">
        <v>17</v>
      </c>
      <c r="AA13" s="12">
        <v>21</v>
      </c>
      <c r="AB13" s="2">
        <v>3.3</v>
      </c>
      <c r="AC13" s="2">
        <v>3.11</v>
      </c>
      <c r="AD13" s="2">
        <v>3.48</v>
      </c>
      <c r="AE13">
        <f>(AD13-AC13)/(2*_xlfn.T.INV.2T(0.05, G13-1))*SQRT(G13)</f>
        <v>0.92756711855633145</v>
      </c>
      <c r="AF13" s="2">
        <v>3.66</v>
      </c>
      <c r="AG13" s="2">
        <v>3.47</v>
      </c>
      <c r="AH13" s="2">
        <v>3.86</v>
      </c>
      <c r="AI13">
        <f>(AH13-AG13)/(2*_xlfn.T.INV.2T(0.05, F13-1))*SQRT(F13)</f>
        <v>0.99277747842139175</v>
      </c>
      <c r="AJ13" s="9">
        <f t="shared" ref="AJ13:AJ15" si="9">(AB13-N13)-(AF13-R13)</f>
        <v>-0.42999999999999972</v>
      </c>
      <c r="AK13" s="9">
        <f t="shared" ref="AK13:AK15" si="10">SQRT((AI13^2)/F13 + (AE13^2)/G13)</f>
        <v>0.13547519942752745</v>
      </c>
      <c r="AL13" s="9">
        <f t="shared" ref="AL13:AL15" si="11">_xlfn.T.DIST.2T(ABS(AJ13/AK13), F13+G13-2)</f>
        <v>1.742196155861873E-3</v>
      </c>
      <c r="AM13" s="1"/>
      <c r="AN13" s="1"/>
      <c r="AO13" s="1" t="s">
        <v>427</v>
      </c>
      <c r="AP13" s="3" t="s">
        <v>382</v>
      </c>
      <c r="AQ13" s="3" t="s">
        <v>46</v>
      </c>
      <c r="AR13" s="3" t="s">
        <v>384</v>
      </c>
      <c r="AS13" s="3" t="s">
        <v>412</v>
      </c>
      <c r="AT13" t="s">
        <v>389</v>
      </c>
      <c r="AU13" s="3" t="s">
        <v>390</v>
      </c>
      <c r="AV13" s="3" t="s">
        <v>275</v>
      </c>
      <c r="AW13" s="3" t="s">
        <v>109</v>
      </c>
      <c r="AX13" s="14" t="s">
        <v>391</v>
      </c>
      <c r="AY13" s="14" t="s">
        <v>110</v>
      </c>
      <c r="AZ13" s="14" t="s">
        <v>392</v>
      </c>
      <c r="BA13">
        <v>97</v>
      </c>
      <c r="BB13" s="15" t="s">
        <v>393</v>
      </c>
      <c r="BC13" t="s">
        <v>411</v>
      </c>
      <c r="BD13" s="13" t="s">
        <v>376</v>
      </c>
      <c r="BE13" s="13" t="s">
        <v>46</v>
      </c>
    </row>
    <row r="14" spans="1:57" x14ac:dyDescent="0.2">
      <c r="A14" t="s">
        <v>375</v>
      </c>
      <c r="B14">
        <v>14</v>
      </c>
      <c r="C14">
        <v>2016</v>
      </c>
      <c r="D14" t="s">
        <v>15</v>
      </c>
      <c r="E14" t="s">
        <v>374</v>
      </c>
      <c r="F14">
        <v>102</v>
      </c>
      <c r="G14">
        <v>103</v>
      </c>
      <c r="H14">
        <v>6.4</v>
      </c>
      <c r="I14" t="s">
        <v>345</v>
      </c>
      <c r="J14" t="s">
        <v>38</v>
      </c>
      <c r="K14" t="s">
        <v>377</v>
      </c>
      <c r="L14">
        <v>36</v>
      </c>
      <c r="M14">
        <f t="shared" si="8"/>
        <v>4.281219512195122</v>
      </c>
      <c r="N14" s="2">
        <v>4.53</v>
      </c>
      <c r="O14" s="2">
        <v>4.24</v>
      </c>
      <c r="P14" s="2">
        <v>4.84</v>
      </c>
      <c r="Q14">
        <f t="shared" ref="Q14:Q15" si="12">(P14-O14)/(2*_xlfn.T.INV.2T(0.05, G14-1))*SQRT(G14)</f>
        <v>1.5350011331681441</v>
      </c>
      <c r="R14" s="2">
        <v>4.03</v>
      </c>
      <c r="S14" s="2">
        <v>3.78</v>
      </c>
      <c r="T14" s="2">
        <v>4.3099999999999996</v>
      </c>
      <c r="U14">
        <f t="shared" ref="U14:U15" si="13">(T14-S14)/(2*_xlfn.T.INV.2T(0.05, F14-1))*SQRT(F14)</f>
        <v>1.3491591373418921</v>
      </c>
      <c r="W14" s="2">
        <v>32</v>
      </c>
      <c r="X14" s="12">
        <v>21</v>
      </c>
      <c r="Y14" s="2">
        <v>11.5</v>
      </c>
      <c r="Z14" s="2">
        <v>17</v>
      </c>
      <c r="AA14" s="12">
        <v>21</v>
      </c>
      <c r="AB14" s="2">
        <v>3.29</v>
      </c>
      <c r="AC14" s="2">
        <v>3.09</v>
      </c>
      <c r="AD14" s="2">
        <v>3.49</v>
      </c>
      <c r="AE14">
        <f t="shared" ref="AE14:AE15" si="14">(AD14-AC14)/(2*_xlfn.T.INV.2T(0.05, G14-1))*SQRT(G14)</f>
        <v>1.0233340887787643</v>
      </c>
      <c r="AF14" s="2">
        <v>3.66</v>
      </c>
      <c r="AG14" s="2">
        <v>3.47</v>
      </c>
      <c r="AH14" s="2">
        <v>3.86</v>
      </c>
      <c r="AI14">
        <f t="shared" ref="AI14:AI15" si="15">(AH14-AG14)/(2*_xlfn.T.INV.2T(0.05, F14-1))*SQRT(F14)</f>
        <v>0.99277747842139175</v>
      </c>
      <c r="AJ14" s="9">
        <f t="shared" si="9"/>
        <v>-0.87000000000000011</v>
      </c>
      <c r="AK14" s="9">
        <f t="shared" si="10"/>
        <v>0.14081877749608424</v>
      </c>
      <c r="AL14" s="9">
        <f t="shared" si="11"/>
        <v>3.4869802230392039E-9</v>
      </c>
      <c r="AM14" s="1"/>
      <c r="AN14" s="1"/>
      <c r="AO14" s="1" t="s">
        <v>427</v>
      </c>
      <c r="AP14" s="3" t="s">
        <v>382</v>
      </c>
      <c r="AQ14" s="3" t="s">
        <v>378</v>
      </c>
      <c r="AR14" s="3" t="s">
        <v>385</v>
      </c>
      <c r="AS14" s="3" t="s">
        <v>413</v>
      </c>
      <c r="AT14" t="s">
        <v>389</v>
      </c>
      <c r="AU14" s="3" t="s">
        <v>390</v>
      </c>
      <c r="AV14" s="3" t="s">
        <v>275</v>
      </c>
      <c r="AW14" s="3" t="s">
        <v>109</v>
      </c>
      <c r="AX14" s="14" t="s">
        <v>391</v>
      </c>
      <c r="AY14" s="14" t="s">
        <v>110</v>
      </c>
      <c r="AZ14" s="14" t="s">
        <v>392</v>
      </c>
      <c r="BA14">
        <v>97</v>
      </c>
      <c r="BB14" s="15" t="s">
        <v>393</v>
      </c>
      <c r="BC14" t="s">
        <v>411</v>
      </c>
      <c r="BD14" s="13" t="s">
        <v>376</v>
      </c>
      <c r="BE14" s="13" t="s">
        <v>378</v>
      </c>
    </row>
    <row r="15" spans="1:57" x14ac:dyDescent="0.2">
      <c r="A15" t="s">
        <v>375</v>
      </c>
      <c r="B15">
        <v>14</v>
      </c>
      <c r="C15">
        <v>2016</v>
      </c>
      <c r="D15" t="s">
        <v>15</v>
      </c>
      <c r="E15" t="s">
        <v>374</v>
      </c>
      <c r="F15">
        <v>102</v>
      </c>
      <c r="G15">
        <v>105</v>
      </c>
      <c r="H15">
        <v>6.4</v>
      </c>
      <c r="I15" t="s">
        <v>345</v>
      </c>
      <c r="J15" t="s">
        <v>38</v>
      </c>
      <c r="K15" t="s">
        <v>377</v>
      </c>
      <c r="L15">
        <v>40</v>
      </c>
      <c r="M15">
        <f t="shared" si="8"/>
        <v>4.2227536231884057</v>
      </c>
      <c r="N15" s="2">
        <v>4.41</v>
      </c>
      <c r="O15" s="2">
        <v>4.09</v>
      </c>
      <c r="P15" s="2">
        <v>4.74</v>
      </c>
      <c r="Q15">
        <f t="shared" si="12"/>
        <v>1.6793726565739784</v>
      </c>
      <c r="R15" s="2">
        <v>4.03</v>
      </c>
      <c r="S15" s="2">
        <v>3.78</v>
      </c>
      <c r="T15" s="2">
        <v>4.3099999999999996</v>
      </c>
      <c r="U15">
        <f t="shared" si="13"/>
        <v>1.3491591373418921</v>
      </c>
      <c r="W15" s="2">
        <v>32</v>
      </c>
      <c r="X15" s="12">
        <v>21</v>
      </c>
      <c r="Y15" s="2">
        <v>11.5</v>
      </c>
      <c r="Z15" s="2">
        <v>17</v>
      </c>
      <c r="AA15" s="12">
        <v>21</v>
      </c>
      <c r="AB15" s="2">
        <v>2.87</v>
      </c>
      <c r="AC15" s="2">
        <v>2.71</v>
      </c>
      <c r="AD15" s="2">
        <v>3.04</v>
      </c>
      <c r="AE15">
        <f t="shared" si="14"/>
        <v>0.852604579491404</v>
      </c>
      <c r="AF15" s="2">
        <v>3.66</v>
      </c>
      <c r="AG15" s="2">
        <v>3.47</v>
      </c>
      <c r="AH15" s="2">
        <v>3.86</v>
      </c>
      <c r="AI15">
        <f t="shared" si="15"/>
        <v>0.99277747842139175</v>
      </c>
      <c r="AJ15" s="9">
        <f t="shared" si="9"/>
        <v>-1.17</v>
      </c>
      <c r="AK15" s="9">
        <f t="shared" si="10"/>
        <v>0.12878665027627145</v>
      </c>
      <c r="AL15" s="9">
        <f t="shared" si="11"/>
        <v>8.9270746036461709E-17</v>
      </c>
      <c r="AM15" s="1"/>
      <c r="AN15" s="1"/>
      <c r="AO15" s="1" t="s">
        <v>427</v>
      </c>
      <c r="AP15" s="3" t="s">
        <v>382</v>
      </c>
      <c r="AQ15" s="3" t="s">
        <v>383</v>
      </c>
      <c r="AR15" s="3" t="s">
        <v>386</v>
      </c>
      <c r="AS15" s="3" t="s">
        <v>414</v>
      </c>
      <c r="AT15" t="s">
        <v>389</v>
      </c>
      <c r="AU15" s="3" t="s">
        <v>390</v>
      </c>
      <c r="AV15" s="3" t="s">
        <v>275</v>
      </c>
      <c r="AW15" s="3" t="s">
        <v>109</v>
      </c>
      <c r="AX15" s="14" t="s">
        <v>391</v>
      </c>
      <c r="AY15" s="14" t="s">
        <v>110</v>
      </c>
      <c r="AZ15" s="14" t="s">
        <v>392</v>
      </c>
      <c r="BA15">
        <v>97</v>
      </c>
      <c r="BB15" s="15" t="s">
        <v>393</v>
      </c>
      <c r="BC15" t="s">
        <v>411</v>
      </c>
      <c r="BD15" s="13" t="s">
        <v>376</v>
      </c>
      <c r="BE15" s="13" t="s">
        <v>379</v>
      </c>
    </row>
    <row r="16" spans="1:57" x14ac:dyDescent="0.2">
      <c r="A16" t="s">
        <v>375</v>
      </c>
      <c r="B16">
        <v>14</v>
      </c>
      <c r="C16">
        <v>2016</v>
      </c>
      <c r="D16" t="s">
        <v>15</v>
      </c>
      <c r="E16" t="s">
        <v>374</v>
      </c>
      <c r="F16">
        <v>229</v>
      </c>
      <c r="G16">
        <v>226</v>
      </c>
      <c r="H16">
        <v>6.4</v>
      </c>
      <c r="I16" t="s">
        <v>345</v>
      </c>
      <c r="J16" t="s">
        <v>38</v>
      </c>
      <c r="K16" t="s">
        <v>377</v>
      </c>
      <c r="L16">
        <v>40</v>
      </c>
      <c r="M16">
        <f t="shared" si="8"/>
        <v>4.2675824175824175</v>
      </c>
      <c r="N16" s="2">
        <f>AVERAGE(4.1,4.41)</f>
        <v>4.2549999999999999</v>
      </c>
      <c r="O16" s="2"/>
      <c r="P16" s="2"/>
      <c r="Q16" s="2"/>
      <c r="R16" s="2">
        <f>AVERAGE(4.53,4.03)</f>
        <v>4.28</v>
      </c>
      <c r="S16" s="2"/>
      <c r="T16" s="2"/>
      <c r="U16" s="2"/>
      <c r="W16" s="2">
        <v>32</v>
      </c>
      <c r="X16" s="12">
        <v>21</v>
      </c>
      <c r="Y16" s="2">
        <v>11.5</v>
      </c>
      <c r="Z16" s="2">
        <v>17</v>
      </c>
      <c r="AA16" s="12">
        <v>21</v>
      </c>
      <c r="AB16" s="2">
        <f>AVERAGE(3.3,2.87)</f>
        <v>3.085</v>
      </c>
      <c r="AC16" s="2"/>
      <c r="AD16" s="2"/>
      <c r="AE16" s="2"/>
      <c r="AF16" s="2">
        <f>AVERAGE(3.29,3.66)</f>
        <v>3.4750000000000001</v>
      </c>
      <c r="AG16" s="2"/>
      <c r="AH16" s="2"/>
      <c r="AI16" s="2"/>
      <c r="AJ16" s="1">
        <v>0.69499999999999995</v>
      </c>
      <c r="AK16" s="1"/>
      <c r="AL16" s="9"/>
      <c r="AM16" s="1">
        <v>0.27900000000000003</v>
      </c>
      <c r="AN16" s="1">
        <v>1.7270000000000001</v>
      </c>
      <c r="AO16" s="1" t="s">
        <v>428</v>
      </c>
      <c r="AP16" s="3" t="s">
        <v>382</v>
      </c>
      <c r="AQ16" s="3" t="s">
        <v>46</v>
      </c>
      <c r="AR16" s="3" t="s">
        <v>387</v>
      </c>
      <c r="AS16" s="3" t="s">
        <v>412</v>
      </c>
      <c r="AT16" t="s">
        <v>389</v>
      </c>
      <c r="AU16" s="3" t="s">
        <v>390</v>
      </c>
      <c r="AV16" s="3" t="s">
        <v>275</v>
      </c>
      <c r="AW16" s="3" t="s">
        <v>109</v>
      </c>
      <c r="AX16" s="14" t="s">
        <v>391</v>
      </c>
      <c r="AY16" s="14" t="s">
        <v>110</v>
      </c>
      <c r="AZ16" s="14" t="s">
        <v>392</v>
      </c>
      <c r="BA16">
        <v>97</v>
      </c>
      <c r="BB16" s="15" t="s">
        <v>393</v>
      </c>
      <c r="BC16" t="s">
        <v>411</v>
      </c>
      <c r="BD16" s="13" t="s">
        <v>376</v>
      </c>
      <c r="BE16" s="13" t="s">
        <v>380</v>
      </c>
    </row>
    <row r="17" spans="1:57" x14ac:dyDescent="0.2">
      <c r="A17" t="s">
        <v>375</v>
      </c>
      <c r="B17">
        <v>14</v>
      </c>
      <c r="C17">
        <v>2016</v>
      </c>
      <c r="D17" t="s">
        <v>15</v>
      </c>
      <c r="E17" t="s">
        <v>374</v>
      </c>
      <c r="F17">
        <v>228</v>
      </c>
      <c r="G17">
        <v>227</v>
      </c>
      <c r="H17">
        <v>6.4</v>
      </c>
      <c r="I17" t="s">
        <v>345</v>
      </c>
      <c r="J17" t="s">
        <v>38</v>
      </c>
      <c r="K17" t="s">
        <v>377</v>
      </c>
      <c r="L17">
        <v>40</v>
      </c>
      <c r="M17">
        <f t="shared" si="8"/>
        <v>4.2670549450549453</v>
      </c>
      <c r="N17" s="2">
        <f>AVERAGE(4.53,4.41)</f>
        <v>4.4700000000000006</v>
      </c>
      <c r="O17" s="2"/>
      <c r="P17" s="2"/>
      <c r="Q17" s="2"/>
      <c r="R17" s="2">
        <f>AVERAGE(4.1,4.03)</f>
        <v>4.0649999999999995</v>
      </c>
      <c r="S17" s="2"/>
      <c r="T17" s="2"/>
      <c r="U17" s="2"/>
      <c r="W17" s="2">
        <v>32</v>
      </c>
      <c r="X17" s="12">
        <v>21</v>
      </c>
      <c r="Y17" s="2">
        <v>11.5</v>
      </c>
      <c r="Z17" s="2">
        <v>17</v>
      </c>
      <c r="AA17" s="12">
        <v>21</v>
      </c>
      <c r="AB17" s="2">
        <f>AVERAGE(3.29,2.87)</f>
        <v>3.08</v>
      </c>
      <c r="AC17" s="2"/>
      <c r="AD17" s="2"/>
      <c r="AE17" s="2"/>
      <c r="AF17" s="2">
        <f>AVERAGE(3.3,3.66)</f>
        <v>3.48</v>
      </c>
      <c r="AG17" s="2"/>
      <c r="AH17" s="2"/>
      <c r="AI17" s="2"/>
      <c r="AJ17" s="1">
        <v>0.47499999999999998</v>
      </c>
      <c r="AK17" s="1"/>
      <c r="AL17" s="9"/>
      <c r="AM17" s="1">
        <v>0.25</v>
      </c>
      <c r="AN17" s="1">
        <v>0.90200000000000002</v>
      </c>
      <c r="AO17" s="1" t="s">
        <v>428</v>
      </c>
      <c r="AP17" s="3" t="s">
        <v>382</v>
      </c>
      <c r="AQ17" s="3" t="s">
        <v>378</v>
      </c>
      <c r="AR17" s="3" t="s">
        <v>388</v>
      </c>
      <c r="AS17" s="3" t="s">
        <v>413</v>
      </c>
      <c r="AT17" t="s">
        <v>389</v>
      </c>
      <c r="AU17" s="3" t="s">
        <v>390</v>
      </c>
      <c r="AV17" s="3" t="s">
        <v>275</v>
      </c>
      <c r="AW17" s="3" t="s">
        <v>109</v>
      </c>
      <c r="AX17" s="14" t="s">
        <v>391</v>
      </c>
      <c r="AY17" s="14" t="s">
        <v>110</v>
      </c>
      <c r="AZ17" s="14" t="s">
        <v>392</v>
      </c>
      <c r="BA17">
        <v>97</v>
      </c>
      <c r="BB17" s="15" t="s">
        <v>393</v>
      </c>
      <c r="BC17" t="s">
        <v>411</v>
      </c>
      <c r="BD17" s="13" t="s">
        <v>376</v>
      </c>
      <c r="BE17" s="13" t="s">
        <v>381</v>
      </c>
    </row>
    <row r="59" spans="1:1" x14ac:dyDescent="0.2">
      <c r="A59"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0DED-C8E1-894E-AEA6-6CB073A6A046}">
  <dimension ref="A1:AN63"/>
  <sheetViews>
    <sheetView topLeftCell="A43" workbookViewId="0">
      <selection activeCell="E56" sqref="E56"/>
    </sheetView>
  </sheetViews>
  <sheetFormatPr baseColWidth="10" defaultRowHeight="16" x14ac:dyDescent="0.2"/>
  <sheetData>
    <row r="1" spans="1:40" x14ac:dyDescent="0.2">
      <c r="A1" t="s">
        <v>313</v>
      </c>
      <c r="B1" t="s">
        <v>0</v>
      </c>
      <c r="C1" t="s">
        <v>312</v>
      </c>
      <c r="D1" t="s">
        <v>1</v>
      </c>
      <c r="E1" t="s">
        <v>2</v>
      </c>
      <c r="F1" t="s">
        <v>135</v>
      </c>
      <c r="G1" t="s">
        <v>134</v>
      </c>
      <c r="H1" t="s">
        <v>41</v>
      </c>
      <c r="I1" t="s">
        <v>37</v>
      </c>
      <c r="J1" t="s">
        <v>36</v>
      </c>
      <c r="K1" t="s">
        <v>111</v>
      </c>
      <c r="L1" t="s">
        <v>82</v>
      </c>
      <c r="M1" t="s">
        <v>77</v>
      </c>
      <c r="N1" t="s">
        <v>81</v>
      </c>
      <c r="O1" t="s">
        <v>76</v>
      </c>
      <c r="P1" t="s">
        <v>3</v>
      </c>
      <c r="Q1" t="s">
        <v>4</v>
      </c>
      <c r="R1" t="s">
        <v>5</v>
      </c>
      <c r="S1" t="s">
        <v>6</v>
      </c>
      <c r="T1" t="s">
        <v>86</v>
      </c>
      <c r="U1" t="s">
        <v>87</v>
      </c>
      <c r="V1" t="s">
        <v>88</v>
      </c>
      <c r="W1" t="s">
        <v>89</v>
      </c>
      <c r="X1" t="s">
        <v>112</v>
      </c>
      <c r="Y1" t="s">
        <v>183</v>
      </c>
      <c r="Z1" t="s">
        <v>91</v>
      </c>
      <c r="AA1" t="s">
        <v>93</v>
      </c>
      <c r="AB1" t="s">
        <v>40</v>
      </c>
      <c r="AC1" t="s">
        <v>7</v>
      </c>
      <c r="AD1" t="s">
        <v>8</v>
      </c>
      <c r="AE1" t="s">
        <v>9</v>
      </c>
      <c r="AF1" t="s">
        <v>10</v>
      </c>
      <c r="AG1" t="s">
        <v>11</v>
      </c>
      <c r="AH1" t="s">
        <v>12</v>
      </c>
      <c r="AI1" t="s">
        <v>13</v>
      </c>
      <c r="AJ1" t="s">
        <v>169</v>
      </c>
      <c r="AK1" t="s">
        <v>14</v>
      </c>
      <c r="AL1" t="s">
        <v>129</v>
      </c>
      <c r="AM1" t="s">
        <v>132</v>
      </c>
      <c r="AN1" t="s">
        <v>184</v>
      </c>
    </row>
    <row r="2" spans="1:40" x14ac:dyDescent="0.2">
      <c r="A2">
        <v>1</v>
      </c>
      <c r="B2" t="s">
        <v>17</v>
      </c>
      <c r="C2">
        <v>2006</v>
      </c>
      <c r="D2" t="s">
        <v>15</v>
      </c>
      <c r="E2" t="s">
        <v>25</v>
      </c>
      <c r="F2">
        <v>122</v>
      </c>
      <c r="G2">
        <v>129</v>
      </c>
      <c r="H2">
        <v>6</v>
      </c>
      <c r="I2" t="s">
        <v>38</v>
      </c>
      <c r="J2" t="s">
        <v>31</v>
      </c>
      <c r="K2">
        <v>53.7</v>
      </c>
      <c r="L2">
        <v>12.5</v>
      </c>
      <c r="M2">
        <v>7.3</v>
      </c>
      <c r="N2">
        <v>10.7</v>
      </c>
      <c r="O2">
        <v>5.88</v>
      </c>
      <c r="T2">
        <v>10.88</v>
      </c>
      <c r="U2" t="s">
        <v>114</v>
      </c>
      <c r="V2">
        <v>9.2200000000000006</v>
      </c>
      <c r="W2" t="s">
        <v>113</v>
      </c>
      <c r="X2">
        <v>-0.14000000000000001</v>
      </c>
      <c r="Y2" t="s">
        <v>148</v>
      </c>
      <c r="Z2" t="s">
        <v>115</v>
      </c>
      <c r="AA2" t="s">
        <v>150</v>
      </c>
      <c r="AB2" t="s">
        <v>116</v>
      </c>
      <c r="AC2" t="s">
        <v>54</v>
      </c>
      <c r="AD2" t="s">
        <v>16</v>
      </c>
      <c r="AE2" t="s">
        <v>53</v>
      </c>
      <c r="AF2" t="s">
        <v>42</v>
      </c>
      <c r="AG2" t="s">
        <v>109</v>
      </c>
      <c r="AH2" t="s">
        <v>120</v>
      </c>
      <c r="AI2" t="s">
        <v>110</v>
      </c>
      <c r="AJ2" t="s">
        <v>101</v>
      </c>
      <c r="AK2" t="s">
        <v>121</v>
      </c>
      <c r="AL2" t="s">
        <v>131</v>
      </c>
      <c r="AN2" t="s">
        <v>46</v>
      </c>
    </row>
    <row r="3" spans="1:40" x14ac:dyDescent="0.2">
      <c r="A3">
        <v>1</v>
      </c>
      <c r="B3" t="s">
        <v>17</v>
      </c>
      <c r="C3">
        <v>2006</v>
      </c>
      <c r="D3" t="s">
        <v>15</v>
      </c>
      <c r="E3" t="s">
        <v>25</v>
      </c>
      <c r="F3">
        <v>122</v>
      </c>
      <c r="G3">
        <v>113</v>
      </c>
      <c r="H3">
        <v>6</v>
      </c>
      <c r="I3" t="s">
        <v>38</v>
      </c>
      <c r="J3" t="s">
        <v>31</v>
      </c>
      <c r="K3">
        <v>57.3</v>
      </c>
      <c r="L3">
        <v>10.7</v>
      </c>
      <c r="M3">
        <v>4.54</v>
      </c>
      <c r="N3">
        <v>10.7</v>
      </c>
      <c r="O3">
        <v>5.88</v>
      </c>
      <c r="T3">
        <v>9.5</v>
      </c>
      <c r="U3" t="s">
        <v>113</v>
      </c>
      <c r="V3">
        <v>9.2200000000000006</v>
      </c>
      <c r="W3" t="s">
        <v>113</v>
      </c>
      <c r="X3">
        <v>-0.27999999999999903</v>
      </c>
      <c r="Y3" t="s">
        <v>147</v>
      </c>
      <c r="Z3" t="s">
        <v>115</v>
      </c>
      <c r="AA3" t="s">
        <v>150</v>
      </c>
      <c r="AB3" t="s">
        <v>117</v>
      </c>
      <c r="AC3" t="s">
        <v>55</v>
      </c>
      <c r="AD3" t="s">
        <v>118</v>
      </c>
      <c r="AE3" t="s">
        <v>53</v>
      </c>
      <c r="AF3" t="s">
        <v>42</v>
      </c>
      <c r="AG3" t="s">
        <v>109</v>
      </c>
      <c r="AH3" t="s">
        <v>120</v>
      </c>
      <c r="AI3" t="s">
        <v>110</v>
      </c>
      <c r="AJ3" t="s">
        <v>101</v>
      </c>
      <c r="AK3" t="s">
        <v>121</v>
      </c>
      <c r="AL3" t="s">
        <v>131</v>
      </c>
      <c r="AN3" t="s">
        <v>47</v>
      </c>
    </row>
    <row r="4" spans="1:40" x14ac:dyDescent="0.2">
      <c r="A4">
        <v>1</v>
      </c>
      <c r="B4" t="s">
        <v>17</v>
      </c>
      <c r="C4">
        <v>2006</v>
      </c>
      <c r="D4" t="s">
        <v>15</v>
      </c>
      <c r="E4" t="s">
        <v>25</v>
      </c>
      <c r="F4">
        <v>122</v>
      </c>
      <c r="G4">
        <v>117</v>
      </c>
      <c r="H4">
        <v>6</v>
      </c>
      <c r="I4" t="s">
        <v>38</v>
      </c>
      <c r="J4" t="s">
        <v>31</v>
      </c>
      <c r="K4">
        <v>59.1</v>
      </c>
      <c r="L4">
        <v>11.7</v>
      </c>
      <c r="M4">
        <v>5.66</v>
      </c>
      <c r="N4">
        <v>10.7</v>
      </c>
      <c r="O4">
        <v>5.88</v>
      </c>
      <c r="T4">
        <v>9.93</v>
      </c>
      <c r="U4" t="s">
        <v>113</v>
      </c>
      <c r="V4">
        <v>9.2200000000000006</v>
      </c>
      <c r="W4" t="s">
        <v>113</v>
      </c>
      <c r="X4">
        <v>0.29000000000000098</v>
      </c>
      <c r="Y4" t="s">
        <v>146</v>
      </c>
      <c r="Z4" t="s">
        <v>115</v>
      </c>
      <c r="AA4" t="s">
        <v>150</v>
      </c>
      <c r="AB4" t="s">
        <v>48</v>
      </c>
      <c r="AC4" t="s">
        <v>56</v>
      </c>
      <c r="AD4" t="s">
        <v>119</v>
      </c>
      <c r="AE4" t="s">
        <v>53</v>
      </c>
      <c r="AF4" t="s">
        <v>42</v>
      </c>
      <c r="AG4" t="s">
        <v>109</v>
      </c>
      <c r="AH4" t="s">
        <v>120</v>
      </c>
      <c r="AI4" t="s">
        <v>110</v>
      </c>
      <c r="AJ4" t="s">
        <v>101</v>
      </c>
      <c r="AK4" t="s">
        <v>121</v>
      </c>
      <c r="AL4" t="s">
        <v>131</v>
      </c>
      <c r="AN4" t="s">
        <v>48</v>
      </c>
    </row>
    <row r="5" spans="1:40" x14ac:dyDescent="0.2">
      <c r="A5">
        <v>2</v>
      </c>
      <c r="B5" t="s">
        <v>18</v>
      </c>
      <c r="C5">
        <v>2006</v>
      </c>
      <c r="D5" t="s">
        <v>15</v>
      </c>
      <c r="E5" t="s">
        <v>26</v>
      </c>
      <c r="F5">
        <v>68</v>
      </c>
      <c r="G5">
        <v>66</v>
      </c>
      <c r="H5">
        <v>4</v>
      </c>
      <c r="I5" t="s">
        <v>38</v>
      </c>
      <c r="J5" t="s">
        <v>30</v>
      </c>
      <c r="K5" t="s">
        <v>122</v>
      </c>
      <c r="L5" t="s">
        <v>139</v>
      </c>
      <c r="M5" t="s">
        <v>136</v>
      </c>
      <c r="N5" t="s">
        <v>137</v>
      </c>
      <c r="O5" t="s">
        <v>138</v>
      </c>
      <c r="T5" t="s">
        <v>140</v>
      </c>
      <c r="U5" t="s">
        <v>142</v>
      </c>
      <c r="V5" t="s">
        <v>141</v>
      </c>
      <c r="W5" t="s">
        <v>143</v>
      </c>
      <c r="X5">
        <v>-2.2000000000000002</v>
      </c>
      <c r="Y5" t="s">
        <v>145</v>
      </c>
      <c r="Z5" t="s">
        <v>149</v>
      </c>
      <c r="AA5" t="s">
        <v>151</v>
      </c>
      <c r="AB5" t="s">
        <v>59</v>
      </c>
      <c r="AC5" t="s">
        <v>123</v>
      </c>
      <c r="AD5" t="s">
        <v>16</v>
      </c>
      <c r="AE5" t="s">
        <v>124</v>
      </c>
      <c r="AF5" t="s">
        <v>125</v>
      </c>
      <c r="AG5" t="s">
        <v>109</v>
      </c>
      <c r="AH5" t="s">
        <v>126</v>
      </c>
      <c r="AI5" t="s">
        <v>127</v>
      </c>
      <c r="AJ5" t="s">
        <v>158</v>
      </c>
      <c r="AK5" t="s">
        <v>128</v>
      </c>
      <c r="AL5" t="s">
        <v>130</v>
      </c>
      <c r="AM5" t="s">
        <v>133</v>
      </c>
    </row>
    <row r="6" spans="1:40" x14ac:dyDescent="0.2">
      <c r="A6">
        <v>3</v>
      </c>
      <c r="B6" t="s">
        <v>20</v>
      </c>
      <c r="C6">
        <v>2004</v>
      </c>
      <c r="D6" t="s">
        <v>15</v>
      </c>
      <c r="E6" t="s">
        <v>27</v>
      </c>
      <c r="F6">
        <v>32</v>
      </c>
      <c r="G6">
        <v>35</v>
      </c>
      <c r="H6">
        <v>6</v>
      </c>
      <c r="I6" t="s">
        <v>38</v>
      </c>
      <c r="J6" t="s">
        <v>33</v>
      </c>
      <c r="K6" t="s">
        <v>105</v>
      </c>
      <c r="L6">
        <v>20.7</v>
      </c>
      <c r="M6">
        <v>5.8</v>
      </c>
      <c r="N6">
        <v>21.4</v>
      </c>
      <c r="O6">
        <v>8.6999999999999993</v>
      </c>
      <c r="T6">
        <v>15.1</v>
      </c>
      <c r="U6">
        <v>6.3</v>
      </c>
      <c r="V6">
        <v>16.600000000000001</v>
      </c>
      <c r="W6">
        <v>7.2</v>
      </c>
      <c r="X6">
        <v>-0.80000000000000249</v>
      </c>
      <c r="Y6" t="s">
        <v>163</v>
      </c>
      <c r="Z6" t="s">
        <v>164</v>
      </c>
      <c r="AA6" t="s">
        <v>165</v>
      </c>
      <c r="AB6" t="s">
        <v>154</v>
      </c>
      <c r="AC6" t="s">
        <v>49</v>
      </c>
      <c r="AD6" t="s">
        <v>51</v>
      </c>
      <c r="AE6" t="s">
        <v>155</v>
      </c>
      <c r="AF6" t="s">
        <v>42</v>
      </c>
      <c r="AG6" t="s">
        <v>156</v>
      </c>
      <c r="AH6" t="s">
        <v>160</v>
      </c>
      <c r="AI6" t="s">
        <v>157</v>
      </c>
      <c r="AJ6" t="s">
        <v>159</v>
      </c>
      <c r="AK6" t="s">
        <v>153</v>
      </c>
      <c r="AL6" t="s">
        <v>161</v>
      </c>
      <c r="AM6" t="s">
        <v>162</v>
      </c>
    </row>
    <row r="7" spans="1:40" x14ac:dyDescent="0.2">
      <c r="A7">
        <v>4</v>
      </c>
      <c r="B7" t="s">
        <v>21</v>
      </c>
      <c r="C7">
        <v>1999</v>
      </c>
      <c r="D7" t="s">
        <v>15</v>
      </c>
      <c r="E7" t="s">
        <v>27</v>
      </c>
      <c r="F7">
        <v>45</v>
      </c>
      <c r="G7">
        <v>44</v>
      </c>
      <c r="H7">
        <v>4</v>
      </c>
      <c r="I7" t="s">
        <v>38</v>
      </c>
      <c r="J7" t="s">
        <v>34</v>
      </c>
      <c r="K7" t="s">
        <v>105</v>
      </c>
      <c r="L7">
        <v>0.12</v>
      </c>
      <c r="M7">
        <v>7.0000000000000007E-2</v>
      </c>
      <c r="N7">
        <v>0.12</v>
      </c>
      <c r="O7">
        <v>7.0000000000000007E-2</v>
      </c>
      <c r="P7">
        <v>7.0000000000000007E-2</v>
      </c>
      <c r="Q7">
        <v>0.06</v>
      </c>
      <c r="R7">
        <v>0.05</v>
      </c>
      <c r="S7">
        <v>0.04</v>
      </c>
      <c r="T7">
        <v>0.17</v>
      </c>
      <c r="U7">
        <v>0.08</v>
      </c>
      <c r="V7">
        <v>0.22</v>
      </c>
      <c r="W7">
        <v>0.11</v>
      </c>
      <c r="X7">
        <v>-4.9999999999999989E-2</v>
      </c>
      <c r="Y7">
        <v>2.0355427638431827E-2</v>
      </c>
      <c r="Z7">
        <v>1.6022773024322885E-2</v>
      </c>
      <c r="AA7" t="s">
        <v>175</v>
      </c>
      <c r="AB7" t="s">
        <v>57</v>
      </c>
      <c r="AC7" t="s">
        <v>174</v>
      </c>
      <c r="AD7" t="s">
        <v>166</v>
      </c>
      <c r="AE7" t="s">
        <v>60</v>
      </c>
      <c r="AF7" t="s">
        <v>44</v>
      </c>
      <c r="AG7" t="s">
        <v>58</v>
      </c>
      <c r="AH7" t="s">
        <v>170</v>
      </c>
      <c r="AI7" t="s">
        <v>171</v>
      </c>
      <c r="AJ7" t="s">
        <v>168</v>
      </c>
      <c r="AK7" t="s">
        <v>172</v>
      </c>
      <c r="AM7" t="s">
        <v>167</v>
      </c>
      <c r="AN7" t="s">
        <v>185</v>
      </c>
    </row>
    <row r="8" spans="1:40" x14ac:dyDescent="0.2">
      <c r="A8">
        <v>4</v>
      </c>
      <c r="B8" t="s">
        <v>21</v>
      </c>
      <c r="C8">
        <v>1999</v>
      </c>
      <c r="D8" t="s">
        <v>15</v>
      </c>
      <c r="E8" t="s">
        <v>27</v>
      </c>
      <c r="F8">
        <v>41</v>
      </c>
      <c r="G8">
        <v>40</v>
      </c>
      <c r="H8">
        <v>9</v>
      </c>
      <c r="I8" t="s">
        <v>38</v>
      </c>
      <c r="J8" t="s">
        <v>34</v>
      </c>
      <c r="K8" t="s">
        <v>105</v>
      </c>
      <c r="L8">
        <v>0.12</v>
      </c>
      <c r="M8">
        <v>7.0000000000000007E-2</v>
      </c>
      <c r="N8">
        <v>0.12</v>
      </c>
      <c r="O8">
        <v>7.0000000000000007E-2</v>
      </c>
      <c r="P8">
        <v>7.0000000000000007E-2</v>
      </c>
      <c r="Q8">
        <v>0.06</v>
      </c>
      <c r="R8">
        <v>0.05</v>
      </c>
      <c r="S8">
        <v>0.04</v>
      </c>
      <c r="T8">
        <v>0.23</v>
      </c>
      <c r="U8">
        <v>0.17</v>
      </c>
      <c r="V8">
        <v>0.24</v>
      </c>
      <c r="W8">
        <v>0.13</v>
      </c>
      <c r="X8">
        <v>-9.9999999999999811E-3</v>
      </c>
      <c r="Y8">
        <v>3.3685235964012773E-2</v>
      </c>
      <c r="Z8">
        <v>0.76734797488286599</v>
      </c>
      <c r="AA8" t="s">
        <v>175</v>
      </c>
      <c r="AB8" t="s">
        <v>57</v>
      </c>
      <c r="AC8" t="s">
        <v>173</v>
      </c>
      <c r="AD8" t="s">
        <v>62</v>
      </c>
      <c r="AE8" t="s">
        <v>60</v>
      </c>
      <c r="AF8" t="s">
        <v>44</v>
      </c>
      <c r="AG8" t="s">
        <v>58</v>
      </c>
      <c r="AH8" t="s">
        <v>170</v>
      </c>
      <c r="AI8" t="s">
        <v>171</v>
      </c>
      <c r="AJ8" t="s">
        <v>168</v>
      </c>
      <c r="AK8" t="s">
        <v>172</v>
      </c>
      <c r="AM8" t="s">
        <v>167</v>
      </c>
      <c r="AN8" t="s">
        <v>186</v>
      </c>
    </row>
    <row r="9" spans="1:40" x14ac:dyDescent="0.2">
      <c r="A9">
        <v>5</v>
      </c>
      <c r="B9" t="s">
        <v>22</v>
      </c>
      <c r="C9">
        <v>2003</v>
      </c>
      <c r="D9" t="s">
        <v>15</v>
      </c>
      <c r="E9" t="s">
        <v>25</v>
      </c>
      <c r="F9">
        <v>320.84000000000003</v>
      </c>
      <c r="G9">
        <v>296.15999999999997</v>
      </c>
      <c r="H9">
        <v>3</v>
      </c>
      <c r="I9" t="s">
        <v>182</v>
      </c>
      <c r="J9" t="s">
        <v>179</v>
      </c>
      <c r="K9" t="s">
        <v>180</v>
      </c>
      <c r="L9">
        <v>9.1999999999999993</v>
      </c>
      <c r="M9">
        <v>4.2</v>
      </c>
      <c r="N9">
        <v>9.4</v>
      </c>
      <c r="O9">
        <v>5</v>
      </c>
      <c r="T9" t="s">
        <v>95</v>
      </c>
      <c r="U9" t="s">
        <v>95</v>
      </c>
      <c r="V9" t="s">
        <v>95</v>
      </c>
      <c r="W9" t="s">
        <v>95</v>
      </c>
      <c r="X9">
        <v>-0.12</v>
      </c>
      <c r="Y9" t="s">
        <v>199</v>
      </c>
      <c r="AA9" t="s">
        <v>214</v>
      </c>
      <c r="AB9" t="s">
        <v>61</v>
      </c>
      <c r="AC9" t="s">
        <v>67</v>
      </c>
      <c r="AD9" t="s">
        <v>181</v>
      </c>
      <c r="AE9" t="s">
        <v>177</v>
      </c>
      <c r="AF9" t="s">
        <v>42</v>
      </c>
      <c r="AG9" t="s">
        <v>218</v>
      </c>
      <c r="AH9" t="s">
        <v>215</v>
      </c>
      <c r="AI9" t="s">
        <v>110</v>
      </c>
      <c r="AJ9" t="s">
        <v>216</v>
      </c>
      <c r="AK9" t="s">
        <v>176</v>
      </c>
      <c r="AL9" t="s">
        <v>38</v>
      </c>
      <c r="AM9" t="s">
        <v>178</v>
      </c>
      <c r="AN9" t="s">
        <v>187</v>
      </c>
    </row>
    <row r="10" spans="1:40" x14ac:dyDescent="0.2">
      <c r="A10">
        <v>5</v>
      </c>
      <c r="B10" t="s">
        <v>22</v>
      </c>
      <c r="C10">
        <v>2003</v>
      </c>
      <c r="D10" t="s">
        <v>15</v>
      </c>
      <c r="E10" t="s">
        <v>25</v>
      </c>
      <c r="F10">
        <v>320.84000000000003</v>
      </c>
      <c r="G10">
        <v>296.15999999999997</v>
      </c>
      <c r="H10">
        <v>6</v>
      </c>
      <c r="I10" t="s">
        <v>182</v>
      </c>
      <c r="J10" t="s">
        <v>179</v>
      </c>
      <c r="K10" t="s">
        <v>180</v>
      </c>
      <c r="L10" t="s">
        <v>95</v>
      </c>
      <c r="M10" t="s">
        <v>95</v>
      </c>
      <c r="N10" t="s">
        <v>95</v>
      </c>
      <c r="O10" t="s">
        <v>95</v>
      </c>
      <c r="T10" t="s">
        <v>95</v>
      </c>
      <c r="U10" t="s">
        <v>95</v>
      </c>
      <c r="V10" t="s">
        <v>95</v>
      </c>
      <c r="W10" t="s">
        <v>95</v>
      </c>
      <c r="X10">
        <v>-0.22</v>
      </c>
      <c r="Y10" t="s">
        <v>200</v>
      </c>
      <c r="AA10" t="s">
        <v>214</v>
      </c>
      <c r="AB10" t="s">
        <v>61</v>
      </c>
      <c r="AC10" t="s">
        <v>67</v>
      </c>
      <c r="AD10" t="s">
        <v>63</v>
      </c>
      <c r="AE10" t="s">
        <v>177</v>
      </c>
      <c r="AF10" t="s">
        <v>42</v>
      </c>
      <c r="AG10" t="s">
        <v>218</v>
      </c>
      <c r="AH10" t="s">
        <v>215</v>
      </c>
      <c r="AI10" t="s">
        <v>110</v>
      </c>
      <c r="AJ10" t="s">
        <v>216</v>
      </c>
      <c r="AK10" t="s">
        <v>95</v>
      </c>
      <c r="AL10" t="s">
        <v>38</v>
      </c>
      <c r="AM10" t="s">
        <v>178</v>
      </c>
      <c r="AN10" t="s">
        <v>188</v>
      </c>
    </row>
    <row r="11" spans="1:40" x14ac:dyDescent="0.2">
      <c r="A11">
        <v>5</v>
      </c>
      <c r="B11" t="s">
        <v>22</v>
      </c>
      <c r="C11">
        <v>2003</v>
      </c>
      <c r="D11" t="s">
        <v>15</v>
      </c>
      <c r="E11" t="s">
        <v>25</v>
      </c>
      <c r="F11">
        <v>317.2</v>
      </c>
      <c r="G11">
        <v>292.79999999999995</v>
      </c>
      <c r="H11">
        <v>6</v>
      </c>
      <c r="I11" t="s">
        <v>182</v>
      </c>
      <c r="J11" t="s">
        <v>179</v>
      </c>
      <c r="K11" t="s">
        <v>180</v>
      </c>
      <c r="L11" t="s">
        <v>95</v>
      </c>
      <c r="M11" t="s">
        <v>95</v>
      </c>
      <c r="N11" t="s">
        <v>95</v>
      </c>
      <c r="O11" t="s">
        <v>95</v>
      </c>
      <c r="T11" t="s">
        <v>95</v>
      </c>
      <c r="U11" t="s">
        <v>95</v>
      </c>
      <c r="V11" t="s">
        <v>95</v>
      </c>
      <c r="W11" t="s">
        <v>95</v>
      </c>
      <c r="X11">
        <v>-0.28999999999999998</v>
      </c>
      <c r="Y11" t="s">
        <v>201</v>
      </c>
      <c r="AA11" t="s">
        <v>214</v>
      </c>
      <c r="AB11" t="s">
        <v>61</v>
      </c>
      <c r="AC11" t="s">
        <v>67</v>
      </c>
      <c r="AD11" t="s">
        <v>63</v>
      </c>
      <c r="AE11" t="s">
        <v>177</v>
      </c>
      <c r="AF11" t="s">
        <v>42</v>
      </c>
      <c r="AG11" t="s">
        <v>218</v>
      </c>
      <c r="AH11" t="s">
        <v>215</v>
      </c>
      <c r="AI11" t="s">
        <v>110</v>
      </c>
      <c r="AJ11" t="s">
        <v>216</v>
      </c>
      <c r="AK11" t="s">
        <v>95</v>
      </c>
      <c r="AL11" t="s">
        <v>38</v>
      </c>
      <c r="AM11" t="s">
        <v>178</v>
      </c>
      <c r="AN11" t="s">
        <v>189</v>
      </c>
    </row>
    <row r="12" spans="1:40" x14ac:dyDescent="0.2">
      <c r="A12">
        <v>5</v>
      </c>
      <c r="B12" t="s">
        <v>22</v>
      </c>
      <c r="C12">
        <v>2003</v>
      </c>
      <c r="D12" t="s">
        <v>15</v>
      </c>
      <c r="E12" t="s">
        <v>25</v>
      </c>
      <c r="F12">
        <v>285.22676000000001</v>
      </c>
      <c r="G12">
        <v>269.80176</v>
      </c>
      <c r="H12">
        <v>3</v>
      </c>
      <c r="I12" t="s">
        <v>182</v>
      </c>
      <c r="J12" t="s">
        <v>179</v>
      </c>
      <c r="K12" t="s">
        <v>180</v>
      </c>
      <c r="L12" t="s">
        <v>95</v>
      </c>
      <c r="M12" t="s">
        <v>95</v>
      </c>
      <c r="N12" t="s">
        <v>95</v>
      </c>
      <c r="O12" t="s">
        <v>95</v>
      </c>
      <c r="P12" t="s">
        <v>95</v>
      </c>
      <c r="Q12" t="s">
        <v>95</v>
      </c>
      <c r="R12" t="s">
        <v>95</v>
      </c>
      <c r="S12" t="s">
        <v>95</v>
      </c>
      <c r="T12" t="s">
        <v>95</v>
      </c>
      <c r="U12" t="s">
        <v>95</v>
      </c>
      <c r="V12" t="s">
        <v>95</v>
      </c>
      <c r="W12" t="s">
        <v>95</v>
      </c>
      <c r="X12">
        <v>-0.16</v>
      </c>
      <c r="Y12" t="s">
        <v>202</v>
      </c>
      <c r="AA12" t="s">
        <v>214</v>
      </c>
      <c r="AB12" t="s">
        <v>61</v>
      </c>
      <c r="AC12" t="s">
        <v>67</v>
      </c>
      <c r="AD12" t="s">
        <v>181</v>
      </c>
      <c r="AE12" t="s">
        <v>177</v>
      </c>
      <c r="AF12" t="s">
        <v>42</v>
      </c>
      <c r="AG12" t="s">
        <v>218</v>
      </c>
      <c r="AH12" t="s">
        <v>215</v>
      </c>
      <c r="AI12" t="s">
        <v>110</v>
      </c>
      <c r="AJ12" t="s">
        <v>216</v>
      </c>
      <c r="AK12" t="s">
        <v>95</v>
      </c>
      <c r="AL12" t="s">
        <v>38</v>
      </c>
      <c r="AM12" t="s">
        <v>178</v>
      </c>
      <c r="AN12" t="s">
        <v>190</v>
      </c>
    </row>
    <row r="13" spans="1:40" x14ac:dyDescent="0.2">
      <c r="A13">
        <v>5</v>
      </c>
      <c r="B13" t="s">
        <v>22</v>
      </c>
      <c r="C13">
        <v>2003</v>
      </c>
      <c r="D13" t="s">
        <v>15</v>
      </c>
      <c r="E13" t="s">
        <v>25</v>
      </c>
      <c r="F13">
        <v>285.22676000000001</v>
      </c>
      <c r="G13">
        <v>269.80176</v>
      </c>
      <c r="H13">
        <v>6</v>
      </c>
      <c r="I13" t="s">
        <v>182</v>
      </c>
      <c r="J13" t="s">
        <v>179</v>
      </c>
      <c r="K13" t="s">
        <v>180</v>
      </c>
      <c r="L13" t="s">
        <v>95</v>
      </c>
      <c r="M13" t="s">
        <v>95</v>
      </c>
      <c r="N13" t="s">
        <v>95</v>
      </c>
      <c r="O13" t="s">
        <v>95</v>
      </c>
      <c r="P13" t="s">
        <v>95</v>
      </c>
      <c r="Q13" t="s">
        <v>95</v>
      </c>
      <c r="R13" t="s">
        <v>95</v>
      </c>
      <c r="S13" t="s">
        <v>95</v>
      </c>
      <c r="T13" t="s">
        <v>95</v>
      </c>
      <c r="U13" t="s">
        <v>95</v>
      </c>
      <c r="V13" t="s">
        <v>95</v>
      </c>
      <c r="W13" t="s">
        <v>95</v>
      </c>
      <c r="X13">
        <v>-0.51</v>
      </c>
      <c r="Y13" t="s">
        <v>203</v>
      </c>
      <c r="AA13" t="s">
        <v>214</v>
      </c>
      <c r="AB13" t="s">
        <v>61</v>
      </c>
      <c r="AC13" t="s">
        <v>67</v>
      </c>
      <c r="AD13" t="s">
        <v>63</v>
      </c>
      <c r="AE13" t="s">
        <v>177</v>
      </c>
      <c r="AF13" t="s">
        <v>42</v>
      </c>
      <c r="AG13" t="s">
        <v>218</v>
      </c>
      <c r="AH13" t="s">
        <v>215</v>
      </c>
      <c r="AI13" t="s">
        <v>110</v>
      </c>
      <c r="AJ13" t="s">
        <v>216</v>
      </c>
      <c r="AK13" t="s">
        <v>95</v>
      </c>
      <c r="AL13" t="s">
        <v>38</v>
      </c>
      <c r="AM13" t="s">
        <v>178</v>
      </c>
      <c r="AN13" t="s">
        <v>191</v>
      </c>
    </row>
    <row r="14" spans="1:40" x14ac:dyDescent="0.2">
      <c r="A14">
        <v>5</v>
      </c>
      <c r="B14" t="s">
        <v>22</v>
      </c>
      <c r="C14">
        <v>2003</v>
      </c>
      <c r="D14" t="s">
        <v>15</v>
      </c>
      <c r="E14" t="s">
        <v>25</v>
      </c>
      <c r="F14">
        <v>281.99079999999998</v>
      </c>
      <c r="G14">
        <v>266.74079999999998</v>
      </c>
      <c r="H14">
        <v>6</v>
      </c>
      <c r="I14" t="s">
        <v>182</v>
      </c>
      <c r="J14" t="s">
        <v>179</v>
      </c>
      <c r="K14" t="s">
        <v>180</v>
      </c>
      <c r="L14" t="s">
        <v>95</v>
      </c>
      <c r="M14" t="s">
        <v>95</v>
      </c>
      <c r="N14" t="s">
        <v>95</v>
      </c>
      <c r="O14" t="s">
        <v>95</v>
      </c>
      <c r="P14" t="s">
        <v>95</v>
      </c>
      <c r="Q14" t="s">
        <v>95</v>
      </c>
      <c r="R14" t="s">
        <v>95</v>
      </c>
      <c r="S14" t="s">
        <v>95</v>
      </c>
      <c r="T14" t="s">
        <v>95</v>
      </c>
      <c r="U14" t="s">
        <v>95</v>
      </c>
      <c r="V14" t="s">
        <v>95</v>
      </c>
      <c r="W14" t="s">
        <v>95</v>
      </c>
      <c r="X14">
        <v>-0.71</v>
      </c>
      <c r="Y14" t="s">
        <v>204</v>
      </c>
      <c r="AA14" t="s">
        <v>214</v>
      </c>
      <c r="AB14" t="s">
        <v>61</v>
      </c>
      <c r="AC14" t="s">
        <v>67</v>
      </c>
      <c r="AD14" t="s">
        <v>63</v>
      </c>
      <c r="AE14" t="s">
        <v>177</v>
      </c>
      <c r="AF14" t="s">
        <v>42</v>
      </c>
      <c r="AG14" t="s">
        <v>218</v>
      </c>
      <c r="AH14" t="s">
        <v>215</v>
      </c>
      <c r="AI14" t="s">
        <v>110</v>
      </c>
      <c r="AJ14" t="s">
        <v>216</v>
      </c>
      <c r="AK14" t="s">
        <v>95</v>
      </c>
      <c r="AL14" t="s">
        <v>38</v>
      </c>
      <c r="AM14" t="s">
        <v>178</v>
      </c>
      <c r="AN14" t="s">
        <v>192</v>
      </c>
    </row>
    <row r="15" spans="1:40" x14ac:dyDescent="0.2">
      <c r="A15">
        <v>5</v>
      </c>
      <c r="B15" t="s">
        <v>22</v>
      </c>
      <c r="C15">
        <v>2003</v>
      </c>
      <c r="D15" t="s">
        <v>15</v>
      </c>
      <c r="E15" t="s">
        <v>25</v>
      </c>
      <c r="F15">
        <v>213.92007000000001</v>
      </c>
      <c r="G15">
        <v>202.35131999999999</v>
      </c>
      <c r="H15">
        <v>3</v>
      </c>
      <c r="I15" t="s">
        <v>182</v>
      </c>
      <c r="J15" t="s">
        <v>179</v>
      </c>
      <c r="K15" t="s">
        <v>180</v>
      </c>
      <c r="L15" t="s">
        <v>95</v>
      </c>
      <c r="M15" t="s">
        <v>95</v>
      </c>
      <c r="N15" t="s">
        <v>95</v>
      </c>
      <c r="O15" t="s">
        <v>95</v>
      </c>
      <c r="P15" t="s">
        <v>95</v>
      </c>
      <c r="Q15" t="s">
        <v>95</v>
      </c>
      <c r="R15" t="s">
        <v>95</v>
      </c>
      <c r="S15" t="s">
        <v>95</v>
      </c>
      <c r="T15" t="s">
        <v>95</v>
      </c>
      <c r="U15" t="s">
        <v>95</v>
      </c>
      <c r="V15" t="s">
        <v>95</v>
      </c>
      <c r="W15" t="s">
        <v>95</v>
      </c>
      <c r="X15">
        <v>-0.05</v>
      </c>
      <c r="Y15" t="s">
        <v>205</v>
      </c>
      <c r="AA15" t="s">
        <v>214</v>
      </c>
      <c r="AB15" t="s">
        <v>61</v>
      </c>
      <c r="AC15" t="s">
        <v>67</v>
      </c>
      <c r="AD15" t="s">
        <v>181</v>
      </c>
      <c r="AE15" t="s">
        <v>177</v>
      </c>
      <c r="AF15" t="s">
        <v>42</v>
      </c>
      <c r="AG15" t="s">
        <v>218</v>
      </c>
      <c r="AH15" t="s">
        <v>215</v>
      </c>
      <c r="AI15" t="s">
        <v>110</v>
      </c>
      <c r="AJ15" t="s">
        <v>216</v>
      </c>
      <c r="AK15" t="s">
        <v>95</v>
      </c>
      <c r="AL15" t="s">
        <v>38</v>
      </c>
      <c r="AM15" t="s">
        <v>178</v>
      </c>
      <c r="AN15" t="s">
        <v>190</v>
      </c>
    </row>
    <row r="16" spans="1:40" x14ac:dyDescent="0.2">
      <c r="A16">
        <v>5</v>
      </c>
      <c r="B16" t="s">
        <v>22</v>
      </c>
      <c r="C16">
        <v>2003</v>
      </c>
      <c r="D16" t="s">
        <v>15</v>
      </c>
      <c r="E16" t="s">
        <v>25</v>
      </c>
      <c r="F16">
        <v>213.92007000000001</v>
      </c>
      <c r="G16">
        <v>202.35131999999999</v>
      </c>
      <c r="H16">
        <v>6</v>
      </c>
      <c r="I16" t="s">
        <v>182</v>
      </c>
      <c r="J16" t="s">
        <v>179</v>
      </c>
      <c r="K16" t="s">
        <v>180</v>
      </c>
      <c r="L16" t="s">
        <v>95</v>
      </c>
      <c r="M16" t="s">
        <v>95</v>
      </c>
      <c r="N16" t="s">
        <v>95</v>
      </c>
      <c r="O16" t="s">
        <v>95</v>
      </c>
      <c r="P16" t="s">
        <v>95</v>
      </c>
      <c r="Q16" t="s">
        <v>95</v>
      </c>
      <c r="R16" t="s">
        <v>95</v>
      </c>
      <c r="S16" t="s">
        <v>95</v>
      </c>
      <c r="T16" t="s">
        <v>95</v>
      </c>
      <c r="U16" t="s">
        <v>95</v>
      </c>
      <c r="V16" t="s">
        <v>95</v>
      </c>
      <c r="W16" t="s">
        <v>95</v>
      </c>
      <c r="X16">
        <v>-0.9</v>
      </c>
      <c r="Y16" t="s">
        <v>206</v>
      </c>
      <c r="AA16" t="s">
        <v>214</v>
      </c>
      <c r="AB16" t="s">
        <v>61</v>
      </c>
      <c r="AC16" t="s">
        <v>67</v>
      </c>
      <c r="AD16" t="s">
        <v>63</v>
      </c>
      <c r="AE16" t="s">
        <v>177</v>
      </c>
      <c r="AF16" t="s">
        <v>42</v>
      </c>
      <c r="AG16" t="s">
        <v>218</v>
      </c>
      <c r="AH16" t="s">
        <v>215</v>
      </c>
      <c r="AI16" t="s">
        <v>110</v>
      </c>
      <c r="AJ16" t="s">
        <v>216</v>
      </c>
      <c r="AK16" t="s">
        <v>95</v>
      </c>
      <c r="AL16" t="s">
        <v>38</v>
      </c>
      <c r="AM16" t="s">
        <v>178</v>
      </c>
      <c r="AN16" t="s">
        <v>191</v>
      </c>
    </row>
    <row r="17" spans="1:40" x14ac:dyDescent="0.2">
      <c r="A17">
        <v>5</v>
      </c>
      <c r="B17" t="s">
        <v>22</v>
      </c>
      <c r="C17">
        <v>2003</v>
      </c>
      <c r="D17" t="s">
        <v>15</v>
      </c>
      <c r="E17" t="s">
        <v>25</v>
      </c>
      <c r="F17">
        <v>211.49309999999997</v>
      </c>
      <c r="G17">
        <v>200.05559999999997</v>
      </c>
      <c r="H17">
        <v>6</v>
      </c>
      <c r="I17" t="s">
        <v>182</v>
      </c>
      <c r="J17" t="s">
        <v>179</v>
      </c>
      <c r="K17" t="s">
        <v>180</v>
      </c>
      <c r="L17" t="s">
        <v>95</v>
      </c>
      <c r="M17" t="s">
        <v>95</v>
      </c>
      <c r="N17" t="s">
        <v>95</v>
      </c>
      <c r="O17" t="s">
        <v>95</v>
      </c>
      <c r="P17" t="s">
        <v>95</v>
      </c>
      <c r="Q17" t="s">
        <v>95</v>
      </c>
      <c r="R17" t="s">
        <v>95</v>
      </c>
      <c r="S17" t="s">
        <v>95</v>
      </c>
      <c r="T17" t="s">
        <v>95</v>
      </c>
      <c r="U17" t="s">
        <v>95</v>
      </c>
      <c r="V17" t="s">
        <v>95</v>
      </c>
      <c r="W17" t="s">
        <v>95</v>
      </c>
      <c r="X17">
        <v>-1.1599999999999999</v>
      </c>
      <c r="Y17" t="s">
        <v>207</v>
      </c>
      <c r="AA17" t="s">
        <v>214</v>
      </c>
      <c r="AB17" t="s">
        <v>61</v>
      </c>
      <c r="AC17" t="s">
        <v>67</v>
      </c>
      <c r="AD17" t="s">
        <v>63</v>
      </c>
      <c r="AE17" t="s">
        <v>177</v>
      </c>
      <c r="AF17" t="s">
        <v>42</v>
      </c>
      <c r="AG17" t="s">
        <v>218</v>
      </c>
      <c r="AH17" t="s">
        <v>215</v>
      </c>
      <c r="AI17" t="s">
        <v>110</v>
      </c>
      <c r="AJ17" t="s">
        <v>216</v>
      </c>
      <c r="AK17" t="s">
        <v>95</v>
      </c>
      <c r="AL17" t="s">
        <v>38</v>
      </c>
      <c r="AM17" t="s">
        <v>178</v>
      </c>
      <c r="AN17" t="s">
        <v>192</v>
      </c>
    </row>
    <row r="18" spans="1:40" x14ac:dyDescent="0.2">
      <c r="A18">
        <v>5</v>
      </c>
      <c r="B18" t="s">
        <v>22</v>
      </c>
      <c r="C18">
        <v>2003</v>
      </c>
      <c r="D18" t="s">
        <v>15</v>
      </c>
      <c r="E18" t="s">
        <v>25</v>
      </c>
      <c r="F18" t="s">
        <v>95</v>
      </c>
      <c r="G18" t="s">
        <v>95</v>
      </c>
      <c r="H18">
        <v>3</v>
      </c>
      <c r="I18" t="s">
        <v>182</v>
      </c>
      <c r="J18" t="s">
        <v>179</v>
      </c>
      <c r="K18" t="s">
        <v>180</v>
      </c>
      <c r="L18" t="s">
        <v>95</v>
      </c>
      <c r="M18" t="s">
        <v>95</v>
      </c>
      <c r="N18" t="s">
        <v>95</v>
      </c>
      <c r="O18" t="s">
        <v>95</v>
      </c>
      <c r="P18" t="s">
        <v>95</v>
      </c>
      <c r="Q18" t="s">
        <v>95</v>
      </c>
      <c r="R18" t="s">
        <v>95</v>
      </c>
      <c r="S18" t="s">
        <v>95</v>
      </c>
      <c r="T18" t="s">
        <v>95</v>
      </c>
      <c r="U18" t="s">
        <v>95</v>
      </c>
      <c r="V18" t="s">
        <v>95</v>
      </c>
      <c r="W18" t="s">
        <v>95</v>
      </c>
      <c r="X18">
        <v>-0.19</v>
      </c>
      <c r="Y18" t="s">
        <v>208</v>
      </c>
      <c r="AA18" t="s">
        <v>214</v>
      </c>
      <c r="AB18" t="s">
        <v>61</v>
      </c>
      <c r="AC18" t="s">
        <v>67</v>
      </c>
      <c r="AD18" t="s">
        <v>181</v>
      </c>
      <c r="AE18" t="s">
        <v>177</v>
      </c>
      <c r="AF18" t="s">
        <v>42</v>
      </c>
      <c r="AG18" t="s">
        <v>218</v>
      </c>
      <c r="AH18" t="s">
        <v>215</v>
      </c>
      <c r="AI18" t="s">
        <v>110</v>
      </c>
      <c r="AJ18" t="s">
        <v>216</v>
      </c>
      <c r="AK18" t="s">
        <v>95</v>
      </c>
      <c r="AL18" t="s">
        <v>38</v>
      </c>
      <c r="AM18" t="s">
        <v>178</v>
      </c>
      <c r="AN18" t="s">
        <v>193</v>
      </c>
    </row>
    <row r="19" spans="1:40" x14ac:dyDescent="0.2">
      <c r="A19">
        <v>5</v>
      </c>
      <c r="B19" t="s">
        <v>22</v>
      </c>
      <c r="C19">
        <v>2003</v>
      </c>
      <c r="D19" t="s">
        <v>15</v>
      </c>
      <c r="E19" t="s">
        <v>25</v>
      </c>
      <c r="F19" t="s">
        <v>95</v>
      </c>
      <c r="G19" t="s">
        <v>95</v>
      </c>
      <c r="H19">
        <v>6</v>
      </c>
      <c r="I19" t="s">
        <v>182</v>
      </c>
      <c r="J19" t="s">
        <v>179</v>
      </c>
      <c r="K19" t="s">
        <v>180</v>
      </c>
      <c r="L19" t="s">
        <v>95</v>
      </c>
      <c r="M19" t="s">
        <v>95</v>
      </c>
      <c r="N19" t="s">
        <v>95</v>
      </c>
      <c r="O19" t="s">
        <v>95</v>
      </c>
      <c r="P19" t="s">
        <v>95</v>
      </c>
      <c r="Q19" t="s">
        <v>95</v>
      </c>
      <c r="R19" t="s">
        <v>95</v>
      </c>
      <c r="S19" t="s">
        <v>95</v>
      </c>
      <c r="T19" t="s">
        <v>95</v>
      </c>
      <c r="U19" t="s">
        <v>95</v>
      </c>
      <c r="V19" t="s">
        <v>95</v>
      </c>
      <c r="W19" t="s">
        <v>95</v>
      </c>
      <c r="X19">
        <v>-1.18</v>
      </c>
      <c r="Y19" t="s">
        <v>209</v>
      </c>
      <c r="AA19" t="s">
        <v>214</v>
      </c>
      <c r="AB19" t="s">
        <v>61</v>
      </c>
      <c r="AC19" t="s">
        <v>67</v>
      </c>
      <c r="AD19" t="s">
        <v>63</v>
      </c>
      <c r="AE19" t="s">
        <v>177</v>
      </c>
      <c r="AF19" t="s">
        <v>42</v>
      </c>
      <c r="AG19" t="s">
        <v>218</v>
      </c>
      <c r="AH19" t="s">
        <v>215</v>
      </c>
      <c r="AI19" t="s">
        <v>110</v>
      </c>
      <c r="AJ19" t="s">
        <v>216</v>
      </c>
      <c r="AK19" t="s">
        <v>95</v>
      </c>
      <c r="AL19" t="s">
        <v>38</v>
      </c>
      <c r="AM19" t="s">
        <v>178</v>
      </c>
      <c r="AN19" t="s">
        <v>194</v>
      </c>
    </row>
    <row r="20" spans="1:40" x14ac:dyDescent="0.2">
      <c r="A20">
        <v>5</v>
      </c>
      <c r="B20" t="s">
        <v>22</v>
      </c>
      <c r="C20">
        <v>2003</v>
      </c>
      <c r="D20" t="s">
        <v>15</v>
      </c>
      <c r="E20" t="s">
        <v>25</v>
      </c>
      <c r="F20" t="s">
        <v>95</v>
      </c>
      <c r="G20" t="s">
        <v>95</v>
      </c>
      <c r="H20">
        <v>6</v>
      </c>
      <c r="I20" t="s">
        <v>182</v>
      </c>
      <c r="J20" t="s">
        <v>179</v>
      </c>
      <c r="K20" t="s">
        <v>180</v>
      </c>
      <c r="L20" t="s">
        <v>95</v>
      </c>
      <c r="M20" t="s">
        <v>95</v>
      </c>
      <c r="N20" t="s">
        <v>95</v>
      </c>
      <c r="O20" t="s">
        <v>95</v>
      </c>
      <c r="P20" t="s">
        <v>95</v>
      </c>
      <c r="Q20" t="s">
        <v>95</v>
      </c>
      <c r="R20" t="s">
        <v>95</v>
      </c>
      <c r="S20" t="s">
        <v>95</v>
      </c>
      <c r="T20" t="s">
        <v>95</v>
      </c>
      <c r="U20" t="s">
        <v>95</v>
      </c>
      <c r="V20" t="s">
        <v>95</v>
      </c>
      <c r="W20" t="s">
        <v>95</v>
      </c>
      <c r="X20">
        <v>-1.46</v>
      </c>
      <c r="Y20" t="s">
        <v>210</v>
      </c>
      <c r="AA20" t="s">
        <v>214</v>
      </c>
      <c r="AB20" t="s">
        <v>61</v>
      </c>
      <c r="AC20" t="s">
        <v>67</v>
      </c>
      <c r="AD20" t="s">
        <v>63</v>
      </c>
      <c r="AE20" t="s">
        <v>177</v>
      </c>
      <c r="AF20" t="s">
        <v>42</v>
      </c>
      <c r="AG20" t="s">
        <v>218</v>
      </c>
      <c r="AH20" t="s">
        <v>215</v>
      </c>
      <c r="AI20" t="s">
        <v>110</v>
      </c>
      <c r="AJ20" t="s">
        <v>216</v>
      </c>
      <c r="AK20" t="s">
        <v>95</v>
      </c>
      <c r="AL20" t="s">
        <v>38</v>
      </c>
      <c r="AM20" t="s">
        <v>178</v>
      </c>
      <c r="AN20" t="s">
        <v>195</v>
      </c>
    </row>
    <row r="21" spans="1:40" x14ac:dyDescent="0.2">
      <c r="A21">
        <v>5</v>
      </c>
      <c r="B21" t="s">
        <v>22</v>
      </c>
      <c r="C21">
        <v>2003</v>
      </c>
      <c r="D21" t="s">
        <v>15</v>
      </c>
      <c r="E21" t="s">
        <v>25</v>
      </c>
      <c r="F21" t="s">
        <v>95</v>
      </c>
      <c r="G21" t="s">
        <v>95</v>
      </c>
      <c r="H21">
        <v>3</v>
      </c>
      <c r="I21" t="s">
        <v>182</v>
      </c>
      <c r="J21" t="s">
        <v>179</v>
      </c>
      <c r="K21" t="s">
        <v>180</v>
      </c>
      <c r="L21" t="s">
        <v>95</v>
      </c>
      <c r="M21" t="s">
        <v>95</v>
      </c>
      <c r="N21" t="s">
        <v>95</v>
      </c>
      <c r="O21" t="s">
        <v>95</v>
      </c>
      <c r="P21" t="s">
        <v>95</v>
      </c>
      <c r="Q21" t="s">
        <v>95</v>
      </c>
      <c r="R21" t="s">
        <v>95</v>
      </c>
      <c r="S21" t="s">
        <v>95</v>
      </c>
      <c r="T21" t="s">
        <v>95</v>
      </c>
      <c r="U21" t="s">
        <v>95</v>
      </c>
      <c r="V21" t="s">
        <v>95</v>
      </c>
      <c r="W21" t="s">
        <v>95</v>
      </c>
      <c r="X21">
        <v>-0.22</v>
      </c>
      <c r="Y21" t="s">
        <v>211</v>
      </c>
      <c r="AA21" t="s">
        <v>214</v>
      </c>
      <c r="AB21" t="s">
        <v>61</v>
      </c>
      <c r="AC21" t="s">
        <v>67</v>
      </c>
      <c r="AD21" t="s">
        <v>181</v>
      </c>
      <c r="AE21" t="s">
        <v>177</v>
      </c>
      <c r="AF21" t="s">
        <v>42</v>
      </c>
      <c r="AG21" t="s">
        <v>218</v>
      </c>
      <c r="AH21" t="s">
        <v>215</v>
      </c>
      <c r="AI21" t="s">
        <v>110</v>
      </c>
      <c r="AJ21" t="s">
        <v>216</v>
      </c>
      <c r="AK21" t="s">
        <v>95</v>
      </c>
      <c r="AL21" t="s">
        <v>38</v>
      </c>
      <c r="AM21" t="s">
        <v>178</v>
      </c>
      <c r="AN21" t="s">
        <v>196</v>
      </c>
    </row>
    <row r="22" spans="1:40" x14ac:dyDescent="0.2">
      <c r="A22">
        <v>5</v>
      </c>
      <c r="B22" t="s">
        <v>22</v>
      </c>
      <c r="C22">
        <v>2003</v>
      </c>
      <c r="D22" t="s">
        <v>15</v>
      </c>
      <c r="E22" t="s">
        <v>25</v>
      </c>
      <c r="F22" t="s">
        <v>95</v>
      </c>
      <c r="G22" t="s">
        <v>95</v>
      </c>
      <c r="H22">
        <v>6</v>
      </c>
      <c r="I22" t="s">
        <v>182</v>
      </c>
      <c r="J22" t="s">
        <v>179</v>
      </c>
      <c r="K22" t="s">
        <v>180</v>
      </c>
      <c r="L22" t="s">
        <v>95</v>
      </c>
      <c r="M22" t="s">
        <v>95</v>
      </c>
      <c r="N22" t="s">
        <v>95</v>
      </c>
      <c r="O22" t="s">
        <v>95</v>
      </c>
      <c r="P22" t="s">
        <v>95</v>
      </c>
      <c r="Q22" t="s">
        <v>95</v>
      </c>
      <c r="R22" t="s">
        <v>95</v>
      </c>
      <c r="S22" t="s">
        <v>95</v>
      </c>
      <c r="T22" t="s">
        <v>95</v>
      </c>
      <c r="U22" t="s">
        <v>95</v>
      </c>
      <c r="V22" t="s">
        <v>95</v>
      </c>
      <c r="W22" t="s">
        <v>95</v>
      </c>
      <c r="X22">
        <v>-1.53</v>
      </c>
      <c r="Y22" t="s">
        <v>212</v>
      </c>
      <c r="AA22" t="s">
        <v>214</v>
      </c>
      <c r="AB22" t="s">
        <v>61</v>
      </c>
      <c r="AC22" t="s">
        <v>67</v>
      </c>
      <c r="AD22" t="s">
        <v>63</v>
      </c>
      <c r="AE22" t="s">
        <v>177</v>
      </c>
      <c r="AF22" t="s">
        <v>42</v>
      </c>
      <c r="AG22" t="s">
        <v>218</v>
      </c>
      <c r="AH22" t="s">
        <v>215</v>
      </c>
      <c r="AI22" t="s">
        <v>110</v>
      </c>
      <c r="AJ22" t="s">
        <v>216</v>
      </c>
      <c r="AK22" t="s">
        <v>95</v>
      </c>
      <c r="AL22" t="s">
        <v>38</v>
      </c>
      <c r="AM22" t="s">
        <v>178</v>
      </c>
      <c r="AN22" t="s">
        <v>197</v>
      </c>
    </row>
    <row r="23" spans="1:40" x14ac:dyDescent="0.2">
      <c r="A23">
        <v>5</v>
      </c>
      <c r="B23" t="s">
        <v>22</v>
      </c>
      <c r="C23">
        <v>2003</v>
      </c>
      <c r="D23" t="s">
        <v>15</v>
      </c>
      <c r="E23" t="s">
        <v>25</v>
      </c>
      <c r="F23" t="s">
        <v>95</v>
      </c>
      <c r="G23" t="s">
        <v>95</v>
      </c>
      <c r="H23">
        <v>6</v>
      </c>
      <c r="I23" t="s">
        <v>182</v>
      </c>
      <c r="J23" t="s">
        <v>179</v>
      </c>
      <c r="K23" t="s">
        <v>180</v>
      </c>
      <c r="L23" t="s">
        <v>95</v>
      </c>
      <c r="M23" t="s">
        <v>95</v>
      </c>
      <c r="N23" t="s">
        <v>95</v>
      </c>
      <c r="O23" t="s">
        <v>95</v>
      </c>
      <c r="P23" t="s">
        <v>95</v>
      </c>
      <c r="Q23" t="s">
        <v>95</v>
      </c>
      <c r="R23" t="s">
        <v>95</v>
      </c>
      <c r="S23" t="s">
        <v>95</v>
      </c>
      <c r="T23" t="s">
        <v>95</v>
      </c>
      <c r="U23" t="s">
        <v>95</v>
      </c>
      <c r="V23" t="s">
        <v>95</v>
      </c>
      <c r="W23" t="s">
        <v>95</v>
      </c>
      <c r="X23">
        <v>-0.186</v>
      </c>
      <c r="Y23" t="s">
        <v>213</v>
      </c>
      <c r="AA23" t="s">
        <v>214</v>
      </c>
      <c r="AB23" t="s">
        <v>61</v>
      </c>
      <c r="AC23" t="s">
        <v>67</v>
      </c>
      <c r="AD23" t="s">
        <v>63</v>
      </c>
      <c r="AE23" t="s">
        <v>177</v>
      </c>
      <c r="AF23" t="s">
        <v>42</v>
      </c>
      <c r="AG23" t="s">
        <v>218</v>
      </c>
      <c r="AH23" t="s">
        <v>215</v>
      </c>
      <c r="AI23" t="s">
        <v>110</v>
      </c>
      <c r="AJ23" t="s">
        <v>216</v>
      </c>
      <c r="AK23" t="s">
        <v>95</v>
      </c>
      <c r="AL23" t="s">
        <v>38</v>
      </c>
      <c r="AM23" t="s">
        <v>178</v>
      </c>
      <c r="AN23" t="s">
        <v>198</v>
      </c>
    </row>
    <row r="24" spans="1:40" x14ac:dyDescent="0.2">
      <c r="A24">
        <v>6</v>
      </c>
      <c r="B24" t="s">
        <v>23</v>
      </c>
      <c r="C24">
        <v>2009</v>
      </c>
      <c r="D24" t="s">
        <v>15</v>
      </c>
      <c r="E24" t="s">
        <v>25</v>
      </c>
      <c r="F24">
        <v>274</v>
      </c>
      <c r="G24">
        <v>283</v>
      </c>
      <c r="H24" t="s">
        <v>64</v>
      </c>
      <c r="I24" t="s">
        <v>35</v>
      </c>
      <c r="J24" t="s">
        <v>38</v>
      </c>
      <c r="K24" t="s">
        <v>180</v>
      </c>
      <c r="L24">
        <v>3.8</v>
      </c>
      <c r="M24">
        <v>2</v>
      </c>
      <c r="N24">
        <v>4.0999999999999996</v>
      </c>
      <c r="O24">
        <v>2</v>
      </c>
      <c r="T24">
        <v>3.8</v>
      </c>
      <c r="U24">
        <v>2</v>
      </c>
      <c r="V24">
        <v>4.5</v>
      </c>
      <c r="W24">
        <v>1.9</v>
      </c>
      <c r="X24">
        <v>-0.40000000000000036</v>
      </c>
      <c r="Y24">
        <v>0.16525573545304376</v>
      </c>
      <c r="Z24">
        <v>1.581951885674001E-2</v>
      </c>
      <c r="AA24" t="s">
        <v>214</v>
      </c>
      <c r="AB24" t="s">
        <v>219</v>
      </c>
      <c r="AC24" t="s">
        <v>67</v>
      </c>
      <c r="AD24" t="s">
        <v>64</v>
      </c>
      <c r="AE24" t="s">
        <v>53</v>
      </c>
      <c r="AF24" t="s">
        <v>42</v>
      </c>
      <c r="AG24" t="s">
        <v>217</v>
      </c>
      <c r="AH24" t="s">
        <v>267</v>
      </c>
      <c r="AI24" t="s">
        <v>110</v>
      </c>
      <c r="AJ24" t="s">
        <v>269</v>
      </c>
      <c r="AK24" t="s">
        <v>270</v>
      </c>
      <c r="AL24" t="s">
        <v>38</v>
      </c>
      <c r="AM24" t="s">
        <v>223</v>
      </c>
    </row>
    <row r="25" spans="1:40" x14ac:dyDescent="0.2">
      <c r="A25">
        <v>6</v>
      </c>
      <c r="B25" t="s">
        <v>23</v>
      </c>
      <c r="C25">
        <v>2009</v>
      </c>
      <c r="D25" t="s">
        <v>15</v>
      </c>
      <c r="E25" t="s">
        <v>25</v>
      </c>
      <c r="F25">
        <v>274</v>
      </c>
      <c r="G25">
        <v>283</v>
      </c>
      <c r="H25" t="s">
        <v>220</v>
      </c>
      <c r="I25" t="s">
        <v>35</v>
      </c>
      <c r="J25" t="s">
        <v>38</v>
      </c>
      <c r="K25" t="s">
        <v>180</v>
      </c>
      <c r="L25" t="s">
        <v>95</v>
      </c>
      <c r="M25" t="s">
        <v>95</v>
      </c>
      <c r="N25" t="s">
        <v>95</v>
      </c>
      <c r="O25" t="s">
        <v>95</v>
      </c>
      <c r="P25" t="s">
        <v>95</v>
      </c>
      <c r="Q25" t="s">
        <v>95</v>
      </c>
      <c r="R25" t="s">
        <v>95</v>
      </c>
      <c r="S25" t="s">
        <v>95</v>
      </c>
      <c r="T25" t="s">
        <v>95</v>
      </c>
      <c r="U25" t="s">
        <v>95</v>
      </c>
      <c r="V25" t="s">
        <v>95</v>
      </c>
      <c r="W25" t="s">
        <v>95</v>
      </c>
      <c r="X25" t="s">
        <v>256</v>
      </c>
      <c r="Y25" t="s">
        <v>259</v>
      </c>
      <c r="Z25" t="s">
        <v>260</v>
      </c>
      <c r="AA25" t="s">
        <v>214</v>
      </c>
      <c r="AB25" t="s">
        <v>61</v>
      </c>
      <c r="AC25" t="s">
        <v>67</v>
      </c>
      <c r="AD25" t="s">
        <v>220</v>
      </c>
      <c r="AE25" t="s">
        <v>53</v>
      </c>
      <c r="AF25" t="s">
        <v>42</v>
      </c>
      <c r="AG25" t="s">
        <v>217</v>
      </c>
      <c r="AH25" t="s">
        <v>268</v>
      </c>
      <c r="AI25" t="s">
        <v>110</v>
      </c>
      <c r="AJ25" t="s">
        <v>269</v>
      </c>
      <c r="AK25" t="s">
        <v>270</v>
      </c>
      <c r="AL25" t="s">
        <v>38</v>
      </c>
      <c r="AM25" t="s">
        <v>224</v>
      </c>
    </row>
    <row r="26" spans="1:40" x14ac:dyDescent="0.2">
      <c r="A26">
        <v>6</v>
      </c>
      <c r="B26" t="s">
        <v>23</v>
      </c>
      <c r="C26">
        <v>2009</v>
      </c>
      <c r="D26" t="s">
        <v>15</v>
      </c>
      <c r="E26" t="s">
        <v>25</v>
      </c>
      <c r="F26">
        <v>274</v>
      </c>
      <c r="G26">
        <v>283</v>
      </c>
      <c r="H26" t="s">
        <v>221</v>
      </c>
      <c r="I26" t="s">
        <v>35</v>
      </c>
      <c r="J26" t="s">
        <v>38</v>
      </c>
      <c r="K26" t="s">
        <v>180</v>
      </c>
      <c r="L26" t="s">
        <v>95</v>
      </c>
      <c r="M26" t="s">
        <v>95</v>
      </c>
      <c r="N26" t="s">
        <v>95</v>
      </c>
      <c r="O26" t="s">
        <v>95</v>
      </c>
      <c r="P26" t="s">
        <v>95</v>
      </c>
      <c r="Q26" t="s">
        <v>95</v>
      </c>
      <c r="R26" t="s">
        <v>95</v>
      </c>
      <c r="S26" t="s">
        <v>95</v>
      </c>
      <c r="T26" t="s">
        <v>95</v>
      </c>
      <c r="U26" t="s">
        <v>95</v>
      </c>
      <c r="V26" t="s">
        <v>95</v>
      </c>
      <c r="W26" t="s">
        <v>95</v>
      </c>
      <c r="X26" t="s">
        <v>250</v>
      </c>
      <c r="Y26" t="s">
        <v>259</v>
      </c>
      <c r="Z26">
        <v>1E-3</v>
      </c>
      <c r="AA26" t="s">
        <v>214</v>
      </c>
      <c r="AB26" t="s">
        <v>61</v>
      </c>
      <c r="AC26" t="s">
        <v>67</v>
      </c>
      <c r="AD26" t="s">
        <v>221</v>
      </c>
      <c r="AE26" t="s">
        <v>53</v>
      </c>
      <c r="AF26" t="s">
        <v>42</v>
      </c>
      <c r="AG26" t="s">
        <v>217</v>
      </c>
      <c r="AH26" t="s">
        <v>268</v>
      </c>
      <c r="AI26" t="s">
        <v>110</v>
      </c>
      <c r="AJ26" t="s">
        <v>269</v>
      </c>
      <c r="AK26" t="s">
        <v>270</v>
      </c>
      <c r="AL26" t="s">
        <v>38</v>
      </c>
      <c r="AM26" t="s">
        <v>225</v>
      </c>
    </row>
    <row r="27" spans="1:40" x14ac:dyDescent="0.2">
      <c r="A27">
        <v>6</v>
      </c>
      <c r="B27" t="s">
        <v>23</v>
      </c>
      <c r="C27">
        <v>2009</v>
      </c>
      <c r="D27" t="s">
        <v>15</v>
      </c>
      <c r="E27" t="s">
        <v>25</v>
      </c>
      <c r="F27">
        <v>274</v>
      </c>
      <c r="G27">
        <v>283</v>
      </c>
      <c r="H27" t="s">
        <v>222</v>
      </c>
      <c r="I27" t="s">
        <v>35</v>
      </c>
      <c r="J27" t="s">
        <v>38</v>
      </c>
      <c r="K27" t="s">
        <v>180</v>
      </c>
      <c r="L27" t="s">
        <v>95</v>
      </c>
      <c r="M27" t="s">
        <v>95</v>
      </c>
      <c r="N27" t="s">
        <v>95</v>
      </c>
      <c r="O27" t="s">
        <v>95</v>
      </c>
      <c r="P27" t="s">
        <v>95</v>
      </c>
      <c r="Q27" t="s">
        <v>95</v>
      </c>
      <c r="R27" t="s">
        <v>95</v>
      </c>
      <c r="S27" t="s">
        <v>95</v>
      </c>
      <c r="T27" t="s">
        <v>95</v>
      </c>
      <c r="U27" t="s">
        <v>95</v>
      </c>
      <c r="V27" t="s">
        <v>95</v>
      </c>
      <c r="W27" t="s">
        <v>95</v>
      </c>
      <c r="X27" t="s">
        <v>249</v>
      </c>
      <c r="Y27" t="s">
        <v>259</v>
      </c>
      <c r="Z27">
        <v>0.107</v>
      </c>
      <c r="AA27" t="s">
        <v>214</v>
      </c>
      <c r="AB27" t="s">
        <v>61</v>
      </c>
      <c r="AC27" t="s">
        <v>67</v>
      </c>
      <c r="AD27" t="s">
        <v>222</v>
      </c>
      <c r="AE27" t="s">
        <v>53</v>
      </c>
      <c r="AF27" t="s">
        <v>42</v>
      </c>
      <c r="AG27" t="s">
        <v>217</v>
      </c>
      <c r="AH27" t="s">
        <v>268</v>
      </c>
      <c r="AI27" t="s">
        <v>110</v>
      </c>
      <c r="AJ27" t="s">
        <v>269</v>
      </c>
      <c r="AK27" t="s">
        <v>270</v>
      </c>
      <c r="AL27" t="s">
        <v>38</v>
      </c>
      <c r="AM27" t="s">
        <v>226</v>
      </c>
    </row>
    <row r="28" spans="1:40" x14ac:dyDescent="0.2">
      <c r="A28">
        <v>6</v>
      </c>
      <c r="B28" t="s">
        <v>23</v>
      </c>
      <c r="C28">
        <v>2009</v>
      </c>
      <c r="D28" t="s">
        <v>15</v>
      </c>
      <c r="E28" t="s">
        <v>25</v>
      </c>
      <c r="F28">
        <v>40.337522441651707</v>
      </c>
      <c r="G28">
        <v>41.662477558348293</v>
      </c>
      <c r="H28" t="s">
        <v>220</v>
      </c>
      <c r="I28" t="s">
        <v>35</v>
      </c>
      <c r="J28" t="s">
        <v>38</v>
      </c>
      <c r="K28" t="s">
        <v>180</v>
      </c>
      <c r="L28" t="s">
        <v>95</v>
      </c>
      <c r="M28" t="s">
        <v>95</v>
      </c>
      <c r="N28" t="s">
        <v>95</v>
      </c>
      <c r="O28" t="s">
        <v>95</v>
      </c>
      <c r="P28" t="s">
        <v>95</v>
      </c>
      <c r="Q28" t="s">
        <v>95</v>
      </c>
      <c r="R28" t="s">
        <v>95</v>
      </c>
      <c r="S28" t="s">
        <v>95</v>
      </c>
      <c r="T28" t="s">
        <v>95</v>
      </c>
      <c r="U28" t="s">
        <v>95</v>
      </c>
      <c r="V28" t="s">
        <v>95</v>
      </c>
      <c r="W28" t="s">
        <v>95</v>
      </c>
      <c r="X28" t="s">
        <v>245</v>
      </c>
      <c r="Y28" t="s">
        <v>259</v>
      </c>
      <c r="Z28">
        <v>0.115</v>
      </c>
      <c r="AA28" t="s">
        <v>214</v>
      </c>
      <c r="AB28" t="s">
        <v>61</v>
      </c>
      <c r="AC28" t="s">
        <v>67</v>
      </c>
      <c r="AD28" t="s">
        <v>220</v>
      </c>
      <c r="AE28" t="s">
        <v>53</v>
      </c>
      <c r="AF28" t="s">
        <v>42</v>
      </c>
      <c r="AG28" t="s">
        <v>217</v>
      </c>
      <c r="AH28" t="s">
        <v>268</v>
      </c>
      <c r="AI28" t="s">
        <v>110</v>
      </c>
      <c r="AJ28" t="s">
        <v>269</v>
      </c>
      <c r="AK28" t="s">
        <v>270</v>
      </c>
      <c r="AL28" t="s">
        <v>38</v>
      </c>
      <c r="AM28" t="s">
        <v>227</v>
      </c>
    </row>
    <row r="29" spans="1:40" x14ac:dyDescent="0.2">
      <c r="A29">
        <v>6</v>
      </c>
      <c r="B29" t="s">
        <v>23</v>
      </c>
      <c r="C29">
        <v>2009</v>
      </c>
      <c r="D29" t="s">
        <v>15</v>
      </c>
      <c r="E29" t="s">
        <v>25</v>
      </c>
      <c r="F29">
        <v>40.337522441651707</v>
      </c>
      <c r="G29">
        <v>41.662477558348293</v>
      </c>
      <c r="H29" t="s">
        <v>221</v>
      </c>
      <c r="I29" t="s">
        <v>35</v>
      </c>
      <c r="J29" t="s">
        <v>38</v>
      </c>
      <c r="K29" t="s">
        <v>180</v>
      </c>
      <c r="L29" t="s">
        <v>95</v>
      </c>
      <c r="M29" t="s">
        <v>95</v>
      </c>
      <c r="N29" t="s">
        <v>95</v>
      </c>
      <c r="O29" t="s">
        <v>95</v>
      </c>
      <c r="P29" t="s">
        <v>95</v>
      </c>
      <c r="Q29" t="s">
        <v>95</v>
      </c>
      <c r="R29" t="s">
        <v>95</v>
      </c>
      <c r="S29" t="s">
        <v>95</v>
      </c>
      <c r="T29" t="s">
        <v>95</v>
      </c>
      <c r="U29" t="s">
        <v>95</v>
      </c>
      <c r="V29" t="s">
        <v>95</v>
      </c>
      <c r="W29" t="s">
        <v>95</v>
      </c>
      <c r="X29" t="s">
        <v>257</v>
      </c>
      <c r="Y29" t="s">
        <v>259</v>
      </c>
      <c r="Z29">
        <v>2.4E-2</v>
      </c>
      <c r="AA29" t="s">
        <v>214</v>
      </c>
      <c r="AB29" t="s">
        <v>61</v>
      </c>
      <c r="AC29" t="s">
        <v>67</v>
      </c>
      <c r="AD29" t="s">
        <v>221</v>
      </c>
      <c r="AE29" t="s">
        <v>53</v>
      </c>
      <c r="AF29" t="s">
        <v>42</v>
      </c>
      <c r="AG29" t="s">
        <v>217</v>
      </c>
      <c r="AH29" t="s">
        <v>268</v>
      </c>
      <c r="AI29" t="s">
        <v>110</v>
      </c>
      <c r="AJ29" t="s">
        <v>269</v>
      </c>
      <c r="AK29" t="s">
        <v>270</v>
      </c>
      <c r="AL29" t="s">
        <v>38</v>
      </c>
      <c r="AM29" t="s">
        <v>228</v>
      </c>
    </row>
    <row r="30" spans="1:40" x14ac:dyDescent="0.2">
      <c r="A30">
        <v>6</v>
      </c>
      <c r="B30" t="s">
        <v>23</v>
      </c>
      <c r="C30">
        <v>2009</v>
      </c>
      <c r="D30" t="s">
        <v>15</v>
      </c>
      <c r="E30" t="s">
        <v>25</v>
      </c>
      <c r="F30">
        <v>40.337522441651707</v>
      </c>
      <c r="G30">
        <v>41.662477558348293</v>
      </c>
      <c r="H30" t="s">
        <v>222</v>
      </c>
      <c r="I30" t="s">
        <v>35</v>
      </c>
      <c r="J30" t="s">
        <v>38</v>
      </c>
      <c r="K30" t="s">
        <v>180</v>
      </c>
      <c r="L30" t="s">
        <v>95</v>
      </c>
      <c r="M30" t="s">
        <v>95</v>
      </c>
      <c r="N30" t="s">
        <v>95</v>
      </c>
      <c r="O30" t="s">
        <v>95</v>
      </c>
      <c r="P30" t="s">
        <v>95</v>
      </c>
      <c r="Q30" t="s">
        <v>95</v>
      </c>
      <c r="R30" t="s">
        <v>95</v>
      </c>
      <c r="S30" t="s">
        <v>95</v>
      </c>
      <c r="T30" t="s">
        <v>95</v>
      </c>
      <c r="U30" t="s">
        <v>95</v>
      </c>
      <c r="V30" t="s">
        <v>95</v>
      </c>
      <c r="W30" t="s">
        <v>95</v>
      </c>
      <c r="X30" t="s">
        <v>246</v>
      </c>
      <c r="Y30" t="s">
        <v>259</v>
      </c>
      <c r="Z30">
        <v>0.497</v>
      </c>
      <c r="AA30" t="s">
        <v>214</v>
      </c>
      <c r="AB30" t="s">
        <v>61</v>
      </c>
      <c r="AC30" t="s">
        <v>67</v>
      </c>
      <c r="AD30" t="s">
        <v>222</v>
      </c>
      <c r="AE30" t="s">
        <v>53</v>
      </c>
      <c r="AF30" t="s">
        <v>42</v>
      </c>
      <c r="AG30" t="s">
        <v>217</v>
      </c>
      <c r="AH30" t="s">
        <v>268</v>
      </c>
      <c r="AI30" t="s">
        <v>110</v>
      </c>
      <c r="AJ30" t="s">
        <v>269</v>
      </c>
      <c r="AK30" t="s">
        <v>270</v>
      </c>
      <c r="AL30" t="s">
        <v>38</v>
      </c>
      <c r="AM30" t="s">
        <v>229</v>
      </c>
    </row>
    <row r="31" spans="1:40" x14ac:dyDescent="0.2">
      <c r="A31">
        <v>6</v>
      </c>
      <c r="B31" t="s">
        <v>23</v>
      </c>
      <c r="C31">
        <v>2009</v>
      </c>
      <c r="D31" t="s">
        <v>15</v>
      </c>
      <c r="E31" t="s">
        <v>25</v>
      </c>
      <c r="F31">
        <v>224.80789946140035</v>
      </c>
      <c r="G31">
        <v>232.19210053859965</v>
      </c>
      <c r="H31" t="s">
        <v>220</v>
      </c>
      <c r="I31" t="s">
        <v>35</v>
      </c>
      <c r="J31" t="s">
        <v>38</v>
      </c>
      <c r="K31" t="s">
        <v>180</v>
      </c>
      <c r="L31" t="s">
        <v>95</v>
      </c>
      <c r="M31" t="s">
        <v>95</v>
      </c>
      <c r="N31" t="s">
        <v>95</v>
      </c>
      <c r="O31" t="s">
        <v>95</v>
      </c>
      <c r="P31" t="s">
        <v>95</v>
      </c>
      <c r="Q31" t="s">
        <v>95</v>
      </c>
      <c r="R31" t="s">
        <v>95</v>
      </c>
      <c r="S31" t="s">
        <v>95</v>
      </c>
      <c r="T31" t="s">
        <v>95</v>
      </c>
      <c r="U31" t="s">
        <v>95</v>
      </c>
      <c r="V31" t="s">
        <v>95</v>
      </c>
      <c r="W31" t="s">
        <v>95</v>
      </c>
      <c r="X31" t="s">
        <v>247</v>
      </c>
      <c r="Y31" t="s">
        <v>259</v>
      </c>
      <c r="Z31">
        <v>1E-3</v>
      </c>
      <c r="AA31" t="s">
        <v>214</v>
      </c>
      <c r="AB31" t="s">
        <v>61</v>
      </c>
      <c r="AC31" t="s">
        <v>67</v>
      </c>
      <c r="AD31" t="s">
        <v>220</v>
      </c>
      <c r="AE31" t="s">
        <v>53</v>
      </c>
      <c r="AF31" t="s">
        <v>42</v>
      </c>
      <c r="AG31" t="s">
        <v>217</v>
      </c>
      <c r="AH31" t="s">
        <v>268</v>
      </c>
      <c r="AI31" t="s">
        <v>110</v>
      </c>
      <c r="AJ31" t="s">
        <v>269</v>
      </c>
      <c r="AK31" t="s">
        <v>270</v>
      </c>
      <c r="AL31" t="s">
        <v>38</v>
      </c>
      <c r="AM31" t="s">
        <v>230</v>
      </c>
    </row>
    <row r="32" spans="1:40" x14ac:dyDescent="0.2">
      <c r="A32">
        <v>6</v>
      </c>
      <c r="B32" t="s">
        <v>23</v>
      </c>
      <c r="C32">
        <v>2009</v>
      </c>
      <c r="D32" t="s">
        <v>15</v>
      </c>
      <c r="E32" t="s">
        <v>25</v>
      </c>
      <c r="F32">
        <v>224.80789946140035</v>
      </c>
      <c r="G32">
        <v>232.19210053859965</v>
      </c>
      <c r="H32" t="s">
        <v>221</v>
      </c>
      <c r="I32" t="s">
        <v>35</v>
      </c>
      <c r="J32" t="s">
        <v>38</v>
      </c>
      <c r="K32" t="s">
        <v>180</v>
      </c>
      <c r="L32" t="s">
        <v>95</v>
      </c>
      <c r="M32" t="s">
        <v>95</v>
      </c>
      <c r="N32" t="s">
        <v>95</v>
      </c>
      <c r="O32" t="s">
        <v>95</v>
      </c>
      <c r="P32" t="s">
        <v>95</v>
      </c>
      <c r="Q32" t="s">
        <v>95</v>
      </c>
      <c r="R32" t="s">
        <v>95</v>
      </c>
      <c r="S32" t="s">
        <v>95</v>
      </c>
      <c r="T32" t="s">
        <v>95</v>
      </c>
      <c r="U32" t="s">
        <v>95</v>
      </c>
      <c r="V32" t="s">
        <v>95</v>
      </c>
      <c r="W32" t="s">
        <v>95</v>
      </c>
      <c r="X32" t="s">
        <v>248</v>
      </c>
      <c r="Y32" t="s">
        <v>259</v>
      </c>
      <c r="Z32">
        <v>1E-3</v>
      </c>
      <c r="AA32" t="s">
        <v>214</v>
      </c>
      <c r="AB32" t="s">
        <v>61</v>
      </c>
      <c r="AC32" t="s">
        <v>67</v>
      </c>
      <c r="AD32" t="s">
        <v>221</v>
      </c>
      <c r="AE32" t="s">
        <v>53</v>
      </c>
      <c r="AF32" t="s">
        <v>42</v>
      </c>
      <c r="AG32" t="s">
        <v>217</v>
      </c>
      <c r="AH32" t="s">
        <v>268</v>
      </c>
      <c r="AI32" t="s">
        <v>110</v>
      </c>
      <c r="AJ32" t="s">
        <v>269</v>
      </c>
      <c r="AK32" t="s">
        <v>270</v>
      </c>
      <c r="AL32" t="s">
        <v>38</v>
      </c>
      <c r="AM32" t="s">
        <v>231</v>
      </c>
    </row>
    <row r="33" spans="1:39" x14ac:dyDescent="0.2">
      <c r="A33">
        <v>6</v>
      </c>
      <c r="B33" t="s">
        <v>23</v>
      </c>
      <c r="C33">
        <v>2009</v>
      </c>
      <c r="D33" t="s">
        <v>15</v>
      </c>
      <c r="E33" t="s">
        <v>25</v>
      </c>
      <c r="F33">
        <v>224.80789946140035</v>
      </c>
      <c r="G33">
        <v>232.19210053859965</v>
      </c>
      <c r="H33" t="s">
        <v>222</v>
      </c>
      <c r="I33" t="s">
        <v>35</v>
      </c>
      <c r="J33" t="s">
        <v>38</v>
      </c>
      <c r="K33" t="s">
        <v>180</v>
      </c>
      <c r="L33" t="s">
        <v>95</v>
      </c>
      <c r="M33" t="s">
        <v>95</v>
      </c>
      <c r="N33" t="s">
        <v>95</v>
      </c>
      <c r="O33" t="s">
        <v>95</v>
      </c>
      <c r="P33" t="s">
        <v>95</v>
      </c>
      <c r="Q33" t="s">
        <v>95</v>
      </c>
      <c r="R33" t="s">
        <v>95</v>
      </c>
      <c r="S33" t="s">
        <v>95</v>
      </c>
      <c r="T33" t="s">
        <v>95</v>
      </c>
      <c r="U33" t="s">
        <v>95</v>
      </c>
      <c r="V33" t="s">
        <v>95</v>
      </c>
      <c r="W33" t="s">
        <v>95</v>
      </c>
      <c r="X33" t="s">
        <v>251</v>
      </c>
      <c r="Y33" t="s">
        <v>259</v>
      </c>
      <c r="Z33">
        <v>3.7000000000000002E-3</v>
      </c>
      <c r="AA33" t="s">
        <v>214</v>
      </c>
      <c r="AB33" t="s">
        <v>61</v>
      </c>
      <c r="AC33" t="s">
        <v>67</v>
      </c>
      <c r="AD33" t="s">
        <v>222</v>
      </c>
      <c r="AE33" t="s">
        <v>53</v>
      </c>
      <c r="AF33" t="s">
        <v>42</v>
      </c>
      <c r="AG33" t="s">
        <v>217</v>
      </c>
      <c r="AH33" t="s">
        <v>268</v>
      </c>
      <c r="AI33" t="s">
        <v>110</v>
      </c>
      <c r="AJ33" t="s">
        <v>269</v>
      </c>
      <c r="AK33" t="s">
        <v>270</v>
      </c>
      <c r="AL33" t="s">
        <v>38</v>
      </c>
      <c r="AM33" t="s">
        <v>232</v>
      </c>
    </row>
    <row r="34" spans="1:39" x14ac:dyDescent="0.2">
      <c r="A34">
        <v>6</v>
      </c>
      <c r="B34" t="s">
        <v>23</v>
      </c>
      <c r="C34">
        <v>2009</v>
      </c>
      <c r="D34" t="s">
        <v>15</v>
      </c>
      <c r="E34" t="s">
        <v>25</v>
      </c>
      <c r="F34">
        <v>175.61579892280071</v>
      </c>
      <c r="G34">
        <v>181.38420107719929</v>
      </c>
      <c r="H34" t="s">
        <v>220</v>
      </c>
      <c r="I34" t="s">
        <v>35</v>
      </c>
      <c r="J34" t="s">
        <v>38</v>
      </c>
      <c r="K34" t="s">
        <v>180</v>
      </c>
      <c r="L34" t="s">
        <v>95</v>
      </c>
      <c r="M34" t="s">
        <v>95</v>
      </c>
      <c r="N34" t="s">
        <v>95</v>
      </c>
      <c r="O34" t="s">
        <v>95</v>
      </c>
      <c r="P34" t="s">
        <v>95</v>
      </c>
      <c r="Q34" t="s">
        <v>95</v>
      </c>
      <c r="R34" t="s">
        <v>95</v>
      </c>
      <c r="S34" t="s">
        <v>95</v>
      </c>
      <c r="T34" t="s">
        <v>95</v>
      </c>
      <c r="U34" t="s">
        <v>95</v>
      </c>
      <c r="V34" t="s">
        <v>95</v>
      </c>
      <c r="W34" t="s">
        <v>95</v>
      </c>
      <c r="X34" t="s">
        <v>252</v>
      </c>
      <c r="Y34" t="s">
        <v>259</v>
      </c>
      <c r="Z34">
        <v>1E-3</v>
      </c>
      <c r="AA34" t="s">
        <v>214</v>
      </c>
      <c r="AB34" t="s">
        <v>61</v>
      </c>
      <c r="AC34" t="s">
        <v>67</v>
      </c>
      <c r="AD34" t="s">
        <v>220</v>
      </c>
      <c r="AE34" t="s">
        <v>53</v>
      </c>
      <c r="AF34" t="s">
        <v>42</v>
      </c>
      <c r="AG34" t="s">
        <v>217</v>
      </c>
      <c r="AH34" t="s">
        <v>268</v>
      </c>
      <c r="AI34" t="s">
        <v>110</v>
      </c>
      <c r="AJ34" t="s">
        <v>269</v>
      </c>
      <c r="AK34" t="s">
        <v>270</v>
      </c>
      <c r="AL34" t="s">
        <v>38</v>
      </c>
      <c r="AM34" t="s">
        <v>233</v>
      </c>
    </row>
    <row r="35" spans="1:39" x14ac:dyDescent="0.2">
      <c r="A35">
        <v>6</v>
      </c>
      <c r="B35" t="s">
        <v>23</v>
      </c>
      <c r="C35">
        <v>2009</v>
      </c>
      <c r="D35" t="s">
        <v>15</v>
      </c>
      <c r="E35" t="s">
        <v>25</v>
      </c>
      <c r="F35">
        <v>175.61579892280071</v>
      </c>
      <c r="G35">
        <v>181.38420107719929</v>
      </c>
      <c r="H35" t="s">
        <v>221</v>
      </c>
      <c r="I35" t="s">
        <v>35</v>
      </c>
      <c r="J35" t="s">
        <v>38</v>
      </c>
      <c r="K35" t="s">
        <v>180</v>
      </c>
      <c r="L35" t="s">
        <v>95</v>
      </c>
      <c r="M35" t="s">
        <v>95</v>
      </c>
      <c r="N35" t="s">
        <v>95</v>
      </c>
      <c r="O35" t="s">
        <v>95</v>
      </c>
      <c r="P35" t="s">
        <v>95</v>
      </c>
      <c r="Q35" t="s">
        <v>95</v>
      </c>
      <c r="R35" t="s">
        <v>95</v>
      </c>
      <c r="S35" t="s">
        <v>95</v>
      </c>
      <c r="T35" t="s">
        <v>95</v>
      </c>
      <c r="U35" t="s">
        <v>95</v>
      </c>
      <c r="V35" t="s">
        <v>95</v>
      </c>
      <c r="W35" t="s">
        <v>95</v>
      </c>
      <c r="X35" t="s">
        <v>253</v>
      </c>
      <c r="Y35" t="s">
        <v>259</v>
      </c>
      <c r="Z35">
        <v>1E-3</v>
      </c>
      <c r="AA35" t="s">
        <v>214</v>
      </c>
      <c r="AB35" t="s">
        <v>61</v>
      </c>
      <c r="AC35" t="s">
        <v>67</v>
      </c>
      <c r="AD35" t="s">
        <v>221</v>
      </c>
      <c r="AE35" t="s">
        <v>53</v>
      </c>
      <c r="AF35" t="s">
        <v>42</v>
      </c>
      <c r="AG35" t="s">
        <v>217</v>
      </c>
      <c r="AH35" t="s">
        <v>268</v>
      </c>
      <c r="AI35" t="s">
        <v>110</v>
      </c>
      <c r="AJ35" t="s">
        <v>269</v>
      </c>
      <c r="AK35" t="s">
        <v>270</v>
      </c>
      <c r="AL35" t="s">
        <v>38</v>
      </c>
      <c r="AM35" t="s">
        <v>234</v>
      </c>
    </row>
    <row r="36" spans="1:39" x14ac:dyDescent="0.2">
      <c r="A36">
        <v>6</v>
      </c>
      <c r="B36" t="s">
        <v>23</v>
      </c>
      <c r="C36">
        <v>2009</v>
      </c>
      <c r="D36" t="s">
        <v>15</v>
      </c>
      <c r="E36" t="s">
        <v>25</v>
      </c>
      <c r="F36">
        <v>175.61579892280071</v>
      </c>
      <c r="G36">
        <v>181.38420107719929</v>
      </c>
      <c r="H36" t="s">
        <v>222</v>
      </c>
      <c r="I36" t="s">
        <v>35</v>
      </c>
      <c r="J36" t="s">
        <v>38</v>
      </c>
      <c r="K36" t="s">
        <v>180</v>
      </c>
      <c r="L36" t="s">
        <v>95</v>
      </c>
      <c r="M36" t="s">
        <v>95</v>
      </c>
      <c r="N36" t="s">
        <v>95</v>
      </c>
      <c r="O36" t="s">
        <v>95</v>
      </c>
      <c r="P36" t="s">
        <v>95</v>
      </c>
      <c r="Q36" t="s">
        <v>95</v>
      </c>
      <c r="R36" t="s">
        <v>95</v>
      </c>
      <c r="S36" t="s">
        <v>95</v>
      </c>
      <c r="T36" t="s">
        <v>95</v>
      </c>
      <c r="U36" t="s">
        <v>95</v>
      </c>
      <c r="V36" t="s">
        <v>95</v>
      </c>
      <c r="W36" t="s">
        <v>95</v>
      </c>
      <c r="X36" t="s">
        <v>254</v>
      </c>
      <c r="Y36" t="s">
        <v>259</v>
      </c>
      <c r="Z36">
        <v>5.3999999999999999E-2</v>
      </c>
      <c r="AA36" t="s">
        <v>214</v>
      </c>
      <c r="AB36" t="s">
        <v>61</v>
      </c>
      <c r="AC36" t="s">
        <v>67</v>
      </c>
      <c r="AD36" t="s">
        <v>222</v>
      </c>
      <c r="AE36" t="s">
        <v>53</v>
      </c>
      <c r="AF36" t="s">
        <v>42</v>
      </c>
      <c r="AG36" t="s">
        <v>217</v>
      </c>
      <c r="AH36" t="s">
        <v>268</v>
      </c>
      <c r="AI36" t="s">
        <v>110</v>
      </c>
      <c r="AJ36" t="s">
        <v>269</v>
      </c>
      <c r="AK36" t="s">
        <v>270</v>
      </c>
      <c r="AL36" t="s">
        <v>38</v>
      </c>
      <c r="AM36" t="s">
        <v>235</v>
      </c>
    </row>
    <row r="37" spans="1:39" x14ac:dyDescent="0.2">
      <c r="A37">
        <v>6</v>
      </c>
      <c r="B37" t="s">
        <v>23</v>
      </c>
      <c r="C37">
        <v>2009</v>
      </c>
      <c r="D37" t="s">
        <v>15</v>
      </c>
      <c r="E37" t="s">
        <v>25</v>
      </c>
      <c r="F37">
        <v>118.55296229802514</v>
      </c>
      <c r="G37">
        <v>122.44703770197486</v>
      </c>
      <c r="H37" t="s">
        <v>220</v>
      </c>
      <c r="I37" t="s">
        <v>35</v>
      </c>
      <c r="J37" t="s">
        <v>38</v>
      </c>
      <c r="K37" t="s">
        <v>180</v>
      </c>
      <c r="L37" t="s">
        <v>95</v>
      </c>
      <c r="M37" t="s">
        <v>95</v>
      </c>
      <c r="N37" t="s">
        <v>95</v>
      </c>
      <c r="O37" t="s">
        <v>95</v>
      </c>
      <c r="P37" t="s">
        <v>95</v>
      </c>
      <c r="Q37" t="s">
        <v>95</v>
      </c>
      <c r="R37" t="s">
        <v>95</v>
      </c>
      <c r="S37" t="s">
        <v>95</v>
      </c>
      <c r="T37" t="s">
        <v>95</v>
      </c>
      <c r="U37" t="s">
        <v>95</v>
      </c>
      <c r="V37" t="s">
        <v>95</v>
      </c>
      <c r="W37" t="s">
        <v>95</v>
      </c>
      <c r="X37" t="s">
        <v>253</v>
      </c>
      <c r="Y37" t="s">
        <v>259</v>
      </c>
      <c r="Z37">
        <v>1E-3</v>
      </c>
      <c r="AA37" t="s">
        <v>214</v>
      </c>
      <c r="AB37" t="s">
        <v>61</v>
      </c>
      <c r="AC37" t="s">
        <v>67</v>
      </c>
      <c r="AD37" t="s">
        <v>220</v>
      </c>
      <c r="AE37" t="s">
        <v>53</v>
      </c>
      <c r="AF37" t="s">
        <v>42</v>
      </c>
      <c r="AG37" t="s">
        <v>217</v>
      </c>
      <c r="AH37" t="s">
        <v>268</v>
      </c>
      <c r="AI37" t="s">
        <v>110</v>
      </c>
      <c r="AJ37" t="s">
        <v>269</v>
      </c>
      <c r="AK37" t="s">
        <v>270</v>
      </c>
      <c r="AL37" t="s">
        <v>38</v>
      </c>
      <c r="AM37" t="s">
        <v>236</v>
      </c>
    </row>
    <row r="38" spans="1:39" x14ac:dyDescent="0.2">
      <c r="A38">
        <v>6</v>
      </c>
      <c r="B38" t="s">
        <v>23</v>
      </c>
      <c r="C38">
        <v>2009</v>
      </c>
      <c r="D38" t="s">
        <v>15</v>
      </c>
      <c r="E38" t="s">
        <v>25</v>
      </c>
      <c r="F38">
        <v>118.55296229802514</v>
      </c>
      <c r="G38">
        <v>122.44703770197486</v>
      </c>
      <c r="H38" t="s">
        <v>221</v>
      </c>
      <c r="I38" t="s">
        <v>35</v>
      </c>
      <c r="J38" t="s">
        <v>38</v>
      </c>
      <c r="K38" t="s">
        <v>180</v>
      </c>
      <c r="L38" t="s">
        <v>95</v>
      </c>
      <c r="M38" t="s">
        <v>95</v>
      </c>
      <c r="N38" t="s">
        <v>95</v>
      </c>
      <c r="O38" t="s">
        <v>95</v>
      </c>
      <c r="P38" t="s">
        <v>95</v>
      </c>
      <c r="Q38" t="s">
        <v>95</v>
      </c>
      <c r="R38" t="s">
        <v>95</v>
      </c>
      <c r="S38" t="s">
        <v>95</v>
      </c>
      <c r="T38" t="s">
        <v>95</v>
      </c>
      <c r="U38" t="s">
        <v>95</v>
      </c>
      <c r="V38" t="s">
        <v>95</v>
      </c>
      <c r="W38" t="s">
        <v>95</v>
      </c>
      <c r="X38" t="s">
        <v>258</v>
      </c>
      <c r="Y38" t="s">
        <v>259</v>
      </c>
      <c r="Z38">
        <v>1E-3</v>
      </c>
      <c r="AA38" t="s">
        <v>214</v>
      </c>
      <c r="AB38" t="s">
        <v>61</v>
      </c>
      <c r="AC38" t="s">
        <v>67</v>
      </c>
      <c r="AD38" t="s">
        <v>221</v>
      </c>
      <c r="AE38" t="s">
        <v>53</v>
      </c>
      <c r="AF38" t="s">
        <v>42</v>
      </c>
      <c r="AG38" t="s">
        <v>217</v>
      </c>
      <c r="AH38" t="s">
        <v>268</v>
      </c>
      <c r="AI38" t="s">
        <v>110</v>
      </c>
      <c r="AJ38" t="s">
        <v>269</v>
      </c>
      <c r="AK38" t="s">
        <v>270</v>
      </c>
      <c r="AL38" t="s">
        <v>38</v>
      </c>
      <c r="AM38" t="s">
        <v>237</v>
      </c>
    </row>
    <row r="39" spans="1:39" x14ac:dyDescent="0.2">
      <c r="A39">
        <v>6</v>
      </c>
      <c r="B39" t="s">
        <v>23</v>
      </c>
      <c r="C39">
        <v>2009</v>
      </c>
      <c r="D39" t="s">
        <v>15</v>
      </c>
      <c r="E39" t="s">
        <v>25</v>
      </c>
      <c r="F39">
        <v>118.55296229802514</v>
      </c>
      <c r="G39">
        <v>122.44703770197486</v>
      </c>
      <c r="H39" t="s">
        <v>222</v>
      </c>
      <c r="I39" t="s">
        <v>35</v>
      </c>
      <c r="J39" t="s">
        <v>38</v>
      </c>
      <c r="K39" t="s">
        <v>180</v>
      </c>
      <c r="L39" t="s">
        <v>95</v>
      </c>
      <c r="M39" t="s">
        <v>95</v>
      </c>
      <c r="N39" t="s">
        <v>95</v>
      </c>
      <c r="O39" t="s">
        <v>95</v>
      </c>
      <c r="P39" t="s">
        <v>95</v>
      </c>
      <c r="Q39" t="s">
        <v>95</v>
      </c>
      <c r="R39" t="s">
        <v>95</v>
      </c>
      <c r="S39" t="s">
        <v>95</v>
      </c>
      <c r="T39" t="s">
        <v>95</v>
      </c>
      <c r="U39" t="s">
        <v>95</v>
      </c>
      <c r="V39" t="s">
        <v>95</v>
      </c>
      <c r="W39" t="s">
        <v>95</v>
      </c>
      <c r="X39" t="s">
        <v>255</v>
      </c>
      <c r="Y39" t="s">
        <v>259</v>
      </c>
      <c r="Z39">
        <v>4.0000000000000001E-3</v>
      </c>
      <c r="AA39" t="s">
        <v>214</v>
      </c>
      <c r="AB39" t="s">
        <v>61</v>
      </c>
      <c r="AC39" t="s">
        <v>67</v>
      </c>
      <c r="AD39" t="s">
        <v>222</v>
      </c>
      <c r="AE39" t="s">
        <v>53</v>
      </c>
      <c r="AF39" t="s">
        <v>42</v>
      </c>
      <c r="AG39" t="s">
        <v>217</v>
      </c>
      <c r="AH39" t="s">
        <v>268</v>
      </c>
      <c r="AI39" t="s">
        <v>110</v>
      </c>
      <c r="AJ39" t="s">
        <v>269</v>
      </c>
      <c r="AK39" t="s">
        <v>270</v>
      </c>
      <c r="AL39" t="s">
        <v>38</v>
      </c>
      <c r="AM39" t="s">
        <v>238</v>
      </c>
    </row>
    <row r="40" spans="1:39" x14ac:dyDescent="0.2">
      <c r="A40">
        <v>6</v>
      </c>
      <c r="B40" t="s">
        <v>23</v>
      </c>
      <c r="C40">
        <v>2009</v>
      </c>
      <c r="D40" t="s">
        <v>15</v>
      </c>
      <c r="E40" t="s">
        <v>25</v>
      </c>
      <c r="F40">
        <v>166</v>
      </c>
      <c r="G40">
        <v>183</v>
      </c>
      <c r="H40" t="s">
        <v>64</v>
      </c>
      <c r="I40" t="s">
        <v>35</v>
      </c>
      <c r="J40" t="s">
        <v>38</v>
      </c>
      <c r="K40" t="s">
        <v>180</v>
      </c>
      <c r="L40" t="s">
        <v>261</v>
      </c>
      <c r="M40" t="s">
        <v>95</v>
      </c>
      <c r="N40" t="s">
        <v>261</v>
      </c>
      <c r="O40" t="s">
        <v>95</v>
      </c>
      <c r="T40" t="s">
        <v>95</v>
      </c>
      <c r="U40" t="s">
        <v>95</v>
      </c>
      <c r="V40" t="s">
        <v>95</v>
      </c>
      <c r="W40" t="s">
        <v>95</v>
      </c>
      <c r="X40" t="s">
        <v>263</v>
      </c>
      <c r="Y40" t="s">
        <v>259</v>
      </c>
      <c r="Z40">
        <v>0.08</v>
      </c>
      <c r="AA40" t="s">
        <v>214</v>
      </c>
      <c r="AB40" t="s">
        <v>61</v>
      </c>
      <c r="AC40" t="s">
        <v>67</v>
      </c>
      <c r="AD40" t="s">
        <v>64</v>
      </c>
      <c r="AE40" t="s">
        <v>53</v>
      </c>
      <c r="AF40" t="s">
        <v>42</v>
      </c>
      <c r="AG40" t="s">
        <v>217</v>
      </c>
      <c r="AH40" t="s">
        <v>268</v>
      </c>
      <c r="AI40" t="s">
        <v>110</v>
      </c>
      <c r="AJ40" t="s">
        <v>269</v>
      </c>
      <c r="AK40" t="s">
        <v>270</v>
      </c>
      <c r="AL40" t="s">
        <v>38</v>
      </c>
      <c r="AM40" t="s">
        <v>239</v>
      </c>
    </row>
    <row r="41" spans="1:39" x14ac:dyDescent="0.2">
      <c r="A41">
        <v>6</v>
      </c>
      <c r="B41" t="s">
        <v>23</v>
      </c>
      <c r="C41">
        <v>2009</v>
      </c>
      <c r="D41" t="s">
        <v>15</v>
      </c>
      <c r="E41" t="s">
        <v>25</v>
      </c>
      <c r="F41">
        <v>108</v>
      </c>
      <c r="G41">
        <v>100</v>
      </c>
      <c r="H41" t="s">
        <v>64</v>
      </c>
      <c r="I41" t="s">
        <v>35</v>
      </c>
      <c r="J41" t="s">
        <v>38</v>
      </c>
      <c r="K41" t="s">
        <v>180</v>
      </c>
      <c r="L41" t="s">
        <v>262</v>
      </c>
      <c r="M41" t="s">
        <v>95</v>
      </c>
      <c r="N41" t="s">
        <v>262</v>
      </c>
      <c r="O41" t="s">
        <v>95</v>
      </c>
      <c r="T41" t="s">
        <v>95</v>
      </c>
      <c r="U41" t="s">
        <v>95</v>
      </c>
      <c r="V41" t="s">
        <v>95</v>
      </c>
      <c r="W41" t="s">
        <v>95</v>
      </c>
      <c r="X41" t="s">
        <v>264</v>
      </c>
      <c r="Y41" t="s">
        <v>259</v>
      </c>
      <c r="Z41">
        <v>3.0000000000000001E-3</v>
      </c>
      <c r="AA41" t="s">
        <v>214</v>
      </c>
      <c r="AB41" t="s">
        <v>61</v>
      </c>
      <c r="AC41" t="s">
        <v>67</v>
      </c>
      <c r="AD41" t="s">
        <v>64</v>
      </c>
      <c r="AE41" t="s">
        <v>53</v>
      </c>
      <c r="AF41" t="s">
        <v>42</v>
      </c>
      <c r="AG41" t="s">
        <v>217</v>
      </c>
      <c r="AH41" t="s">
        <v>268</v>
      </c>
      <c r="AI41" t="s">
        <v>110</v>
      </c>
      <c r="AJ41" t="s">
        <v>269</v>
      </c>
      <c r="AK41" t="s">
        <v>270</v>
      </c>
      <c r="AL41" t="s">
        <v>38</v>
      </c>
      <c r="AM41" t="s">
        <v>240</v>
      </c>
    </row>
    <row r="42" spans="1:39" x14ac:dyDescent="0.2">
      <c r="A42">
        <v>6</v>
      </c>
      <c r="B42" t="s">
        <v>23</v>
      </c>
      <c r="C42">
        <v>2009</v>
      </c>
      <c r="D42" t="s">
        <v>15</v>
      </c>
      <c r="E42" t="s">
        <v>25</v>
      </c>
      <c r="F42">
        <v>130</v>
      </c>
      <c r="G42">
        <v>162</v>
      </c>
      <c r="H42" t="s">
        <v>64</v>
      </c>
      <c r="I42" t="s">
        <v>35</v>
      </c>
      <c r="J42" t="s">
        <v>38</v>
      </c>
      <c r="K42" t="s">
        <v>180</v>
      </c>
      <c r="L42" t="s">
        <v>261</v>
      </c>
      <c r="M42" t="s">
        <v>95</v>
      </c>
      <c r="N42" t="s">
        <v>261</v>
      </c>
      <c r="O42" t="s">
        <v>95</v>
      </c>
      <c r="T42" t="s">
        <v>95</v>
      </c>
      <c r="U42" t="s">
        <v>95</v>
      </c>
      <c r="V42" t="s">
        <v>95</v>
      </c>
      <c r="W42" t="s">
        <v>95</v>
      </c>
      <c r="X42" t="s">
        <v>265</v>
      </c>
      <c r="Y42" t="s">
        <v>259</v>
      </c>
      <c r="Z42">
        <v>0.01</v>
      </c>
      <c r="AA42" t="s">
        <v>214</v>
      </c>
      <c r="AB42" t="s">
        <v>61</v>
      </c>
      <c r="AC42" t="s">
        <v>67</v>
      </c>
      <c r="AD42" t="s">
        <v>64</v>
      </c>
      <c r="AE42" t="s">
        <v>53</v>
      </c>
      <c r="AF42" t="s">
        <v>42</v>
      </c>
      <c r="AG42" t="s">
        <v>217</v>
      </c>
      <c r="AH42" t="s">
        <v>268</v>
      </c>
      <c r="AI42" t="s">
        <v>110</v>
      </c>
      <c r="AJ42" t="s">
        <v>269</v>
      </c>
      <c r="AK42" t="s">
        <v>270</v>
      </c>
      <c r="AL42" t="s">
        <v>38</v>
      </c>
      <c r="AM42" t="s">
        <v>241</v>
      </c>
    </row>
    <row r="43" spans="1:39" x14ac:dyDescent="0.2">
      <c r="A43">
        <v>6</v>
      </c>
      <c r="B43" t="s">
        <v>23</v>
      </c>
      <c r="C43">
        <v>2009</v>
      </c>
      <c r="D43" t="s">
        <v>15</v>
      </c>
      <c r="E43" t="s">
        <v>25</v>
      </c>
      <c r="F43">
        <v>96</v>
      </c>
      <c r="G43">
        <v>87</v>
      </c>
      <c r="H43" t="s">
        <v>64</v>
      </c>
      <c r="I43" t="s">
        <v>35</v>
      </c>
      <c r="J43" t="s">
        <v>38</v>
      </c>
      <c r="K43" t="s">
        <v>180</v>
      </c>
      <c r="L43" t="s">
        <v>262</v>
      </c>
      <c r="M43" t="s">
        <v>95</v>
      </c>
      <c r="N43" t="s">
        <v>262</v>
      </c>
      <c r="O43" t="s">
        <v>95</v>
      </c>
      <c r="T43" t="s">
        <v>95</v>
      </c>
      <c r="U43" t="s">
        <v>95</v>
      </c>
      <c r="V43" t="s">
        <v>95</v>
      </c>
      <c r="W43" t="s">
        <v>95</v>
      </c>
      <c r="X43" t="s">
        <v>264</v>
      </c>
      <c r="Y43" t="s">
        <v>259</v>
      </c>
      <c r="Z43">
        <v>4.0000000000000001E-3</v>
      </c>
      <c r="AA43" t="s">
        <v>214</v>
      </c>
      <c r="AB43" t="s">
        <v>61</v>
      </c>
      <c r="AC43" t="s">
        <v>67</v>
      </c>
      <c r="AD43" t="s">
        <v>64</v>
      </c>
      <c r="AE43" t="s">
        <v>53</v>
      </c>
      <c r="AF43" t="s">
        <v>42</v>
      </c>
      <c r="AG43" t="s">
        <v>217</v>
      </c>
      <c r="AH43" t="s">
        <v>268</v>
      </c>
      <c r="AI43" t="s">
        <v>110</v>
      </c>
      <c r="AJ43" t="s">
        <v>269</v>
      </c>
      <c r="AK43" t="s">
        <v>270</v>
      </c>
      <c r="AL43" t="s">
        <v>38</v>
      </c>
      <c r="AM43" t="s">
        <v>242</v>
      </c>
    </row>
    <row r="44" spans="1:39" x14ac:dyDescent="0.2">
      <c r="A44">
        <v>6</v>
      </c>
      <c r="B44" t="s">
        <v>23</v>
      </c>
      <c r="C44">
        <v>2009</v>
      </c>
      <c r="D44" t="s">
        <v>15</v>
      </c>
      <c r="E44" t="s">
        <v>25</v>
      </c>
      <c r="F44">
        <v>36</v>
      </c>
      <c r="G44">
        <v>21</v>
      </c>
      <c r="H44" t="s">
        <v>64</v>
      </c>
      <c r="I44" t="s">
        <v>35</v>
      </c>
      <c r="J44" t="s">
        <v>38</v>
      </c>
      <c r="K44" t="s">
        <v>180</v>
      </c>
      <c r="L44" t="s">
        <v>261</v>
      </c>
      <c r="M44" t="s">
        <v>95</v>
      </c>
      <c r="N44" t="s">
        <v>261</v>
      </c>
      <c r="O44" t="s">
        <v>95</v>
      </c>
      <c r="T44" t="s">
        <v>95</v>
      </c>
      <c r="U44" t="s">
        <v>95</v>
      </c>
      <c r="V44" t="s">
        <v>95</v>
      </c>
      <c r="W44" t="s">
        <v>95</v>
      </c>
      <c r="X44" t="s">
        <v>266</v>
      </c>
      <c r="Y44" t="s">
        <v>259</v>
      </c>
      <c r="Z44">
        <v>0.02</v>
      </c>
      <c r="AA44" t="s">
        <v>214</v>
      </c>
      <c r="AB44" t="s">
        <v>61</v>
      </c>
      <c r="AC44" t="s">
        <v>67</v>
      </c>
      <c r="AD44" t="s">
        <v>64</v>
      </c>
      <c r="AE44" t="s">
        <v>53</v>
      </c>
      <c r="AF44" t="s">
        <v>42</v>
      </c>
      <c r="AG44" t="s">
        <v>217</v>
      </c>
      <c r="AH44" t="s">
        <v>268</v>
      </c>
      <c r="AI44" t="s">
        <v>110</v>
      </c>
      <c r="AJ44" t="s">
        <v>269</v>
      </c>
      <c r="AK44" t="s">
        <v>270</v>
      </c>
      <c r="AL44" t="s">
        <v>38</v>
      </c>
      <c r="AM44" t="s">
        <v>243</v>
      </c>
    </row>
    <row r="45" spans="1:39" x14ac:dyDescent="0.2">
      <c r="A45">
        <v>6</v>
      </c>
      <c r="B45" t="s">
        <v>23</v>
      </c>
      <c r="C45">
        <v>2009</v>
      </c>
      <c r="D45" t="s">
        <v>15</v>
      </c>
      <c r="E45" t="s">
        <v>25</v>
      </c>
      <c r="F45">
        <v>12</v>
      </c>
      <c r="G45">
        <v>13</v>
      </c>
      <c r="H45" t="s">
        <v>64</v>
      </c>
      <c r="I45" t="s">
        <v>35</v>
      </c>
      <c r="J45" t="s">
        <v>38</v>
      </c>
      <c r="K45" t="s">
        <v>180</v>
      </c>
      <c r="L45" t="s">
        <v>262</v>
      </c>
      <c r="M45" t="s">
        <v>95</v>
      </c>
      <c r="N45" t="s">
        <v>262</v>
      </c>
      <c r="O45" t="s">
        <v>95</v>
      </c>
      <c r="T45" t="s">
        <v>95</v>
      </c>
      <c r="U45" t="s">
        <v>95</v>
      </c>
      <c r="V45" t="s">
        <v>95</v>
      </c>
      <c r="W45" t="s">
        <v>95</v>
      </c>
      <c r="X45" t="s">
        <v>264</v>
      </c>
      <c r="Y45" t="s">
        <v>259</v>
      </c>
      <c r="Z45">
        <v>0.49</v>
      </c>
      <c r="AA45" t="s">
        <v>214</v>
      </c>
      <c r="AB45" t="s">
        <v>61</v>
      </c>
      <c r="AC45" t="s">
        <v>67</v>
      </c>
      <c r="AD45" t="s">
        <v>64</v>
      </c>
      <c r="AF45" t="s">
        <v>42</v>
      </c>
      <c r="AG45" t="s">
        <v>217</v>
      </c>
      <c r="AH45" t="s">
        <v>268</v>
      </c>
      <c r="AI45" t="s">
        <v>110</v>
      </c>
      <c r="AJ45" t="s">
        <v>269</v>
      </c>
      <c r="AK45" t="s">
        <v>270</v>
      </c>
      <c r="AL45" t="s">
        <v>38</v>
      </c>
      <c r="AM45" t="s">
        <v>244</v>
      </c>
    </row>
    <row r="46" spans="1:39" x14ac:dyDescent="0.2">
      <c r="A46">
        <v>7</v>
      </c>
      <c r="B46" t="s">
        <v>70</v>
      </c>
      <c r="C46">
        <v>2017</v>
      </c>
      <c r="D46" t="s">
        <v>99</v>
      </c>
      <c r="E46" t="s">
        <v>71</v>
      </c>
      <c r="F46">
        <v>26</v>
      </c>
      <c r="G46">
        <v>30</v>
      </c>
      <c r="H46">
        <v>3</v>
      </c>
      <c r="I46" t="s">
        <v>38</v>
      </c>
      <c r="J46" t="s">
        <v>104</v>
      </c>
      <c r="K46" t="s">
        <v>105</v>
      </c>
      <c r="L46">
        <v>3.0529999999999999</v>
      </c>
      <c r="M46">
        <v>0.48859999999999998</v>
      </c>
      <c r="N46">
        <v>2.5379999999999998</v>
      </c>
      <c r="O46">
        <v>7.8070000000000001E-2</v>
      </c>
      <c r="T46">
        <v>0.1983</v>
      </c>
      <c r="U46">
        <v>9.4280000000000003E-2</v>
      </c>
      <c r="V46">
        <v>2.4620000000000002</v>
      </c>
      <c r="W46">
        <v>0.12690000000000001</v>
      </c>
      <c r="X46">
        <v>-2.8546999999999998</v>
      </c>
      <c r="Y46">
        <v>3.0259878200646295E-2</v>
      </c>
      <c r="Z46" t="s">
        <v>92</v>
      </c>
      <c r="AA46" t="s">
        <v>107</v>
      </c>
      <c r="AB46" t="s">
        <v>297</v>
      </c>
      <c r="AC46" t="s">
        <v>78</v>
      </c>
      <c r="AD46" t="s">
        <v>51</v>
      </c>
      <c r="AE46" t="s">
        <v>53</v>
      </c>
      <c r="AF46" t="s">
        <v>96</v>
      </c>
      <c r="AG46" t="s">
        <v>109</v>
      </c>
      <c r="AH46" t="s">
        <v>98</v>
      </c>
      <c r="AI46" t="s">
        <v>110</v>
      </c>
      <c r="AJ46" t="s">
        <v>101</v>
      </c>
      <c r="AK46">
        <v>9.7000000000000003E-2</v>
      </c>
    </row>
    <row r="47" spans="1:39" x14ac:dyDescent="0.2">
      <c r="A47">
        <v>8</v>
      </c>
      <c r="B47" t="s">
        <v>72</v>
      </c>
      <c r="C47">
        <v>2006</v>
      </c>
      <c r="D47" t="s">
        <v>15</v>
      </c>
      <c r="E47" t="s">
        <v>25</v>
      </c>
      <c r="F47">
        <v>335</v>
      </c>
      <c r="G47">
        <v>334</v>
      </c>
      <c r="H47" t="s">
        <v>274</v>
      </c>
      <c r="I47" t="s">
        <v>271</v>
      </c>
      <c r="J47" t="s">
        <v>38</v>
      </c>
      <c r="K47" t="s">
        <v>180</v>
      </c>
      <c r="L47" t="s">
        <v>276</v>
      </c>
      <c r="M47" t="s">
        <v>276</v>
      </c>
      <c r="N47" t="s">
        <v>276</v>
      </c>
      <c r="O47" t="s">
        <v>276</v>
      </c>
      <c r="P47" t="s">
        <v>276</v>
      </c>
      <c r="Q47" t="s">
        <v>276</v>
      </c>
      <c r="R47" t="s">
        <v>276</v>
      </c>
      <c r="S47" t="s">
        <v>276</v>
      </c>
      <c r="T47" t="s">
        <v>276</v>
      </c>
      <c r="U47" t="s">
        <v>276</v>
      </c>
      <c r="V47" t="s">
        <v>276</v>
      </c>
      <c r="W47" t="s">
        <v>276</v>
      </c>
      <c r="X47" t="s">
        <v>279</v>
      </c>
      <c r="Y47" t="s">
        <v>276</v>
      </c>
      <c r="Z47" t="s">
        <v>92</v>
      </c>
      <c r="AA47" t="s">
        <v>276</v>
      </c>
      <c r="AB47" t="s">
        <v>272</v>
      </c>
      <c r="AC47" t="s">
        <v>273</v>
      </c>
      <c r="AD47" t="s">
        <v>274</v>
      </c>
      <c r="AE47" t="s">
        <v>53</v>
      </c>
      <c r="AF47" t="s">
        <v>275</v>
      </c>
      <c r="AG47" t="s">
        <v>276</v>
      </c>
      <c r="AH47" t="s">
        <v>276</v>
      </c>
      <c r="AI47" t="s">
        <v>276</v>
      </c>
      <c r="AJ47" t="s">
        <v>276</v>
      </c>
      <c r="AK47" t="s">
        <v>276</v>
      </c>
      <c r="AL47" t="s">
        <v>276</v>
      </c>
    </row>
    <row r="48" spans="1:39" x14ac:dyDescent="0.2">
      <c r="A48">
        <v>8</v>
      </c>
      <c r="B48" t="s">
        <v>72</v>
      </c>
      <c r="C48">
        <v>2006</v>
      </c>
      <c r="D48" t="s">
        <v>15</v>
      </c>
      <c r="E48" t="s">
        <v>25</v>
      </c>
      <c r="F48">
        <v>335</v>
      </c>
      <c r="G48">
        <v>334</v>
      </c>
      <c r="H48" t="s">
        <v>278</v>
      </c>
      <c r="I48" t="s">
        <v>271</v>
      </c>
      <c r="J48" t="s">
        <v>38</v>
      </c>
      <c r="K48" t="s">
        <v>180</v>
      </c>
      <c r="L48" t="s">
        <v>276</v>
      </c>
      <c r="M48" t="s">
        <v>276</v>
      </c>
      <c r="N48" t="s">
        <v>276</v>
      </c>
      <c r="O48" t="s">
        <v>276</v>
      </c>
      <c r="P48" t="s">
        <v>276</v>
      </c>
      <c r="Q48" t="s">
        <v>276</v>
      </c>
      <c r="R48" t="s">
        <v>276</v>
      </c>
      <c r="S48" t="s">
        <v>276</v>
      </c>
      <c r="T48" t="s">
        <v>276</v>
      </c>
      <c r="U48" t="s">
        <v>276</v>
      </c>
      <c r="V48" t="s">
        <v>276</v>
      </c>
      <c r="W48" t="s">
        <v>276</v>
      </c>
      <c r="X48" t="s">
        <v>280</v>
      </c>
      <c r="Y48" t="s">
        <v>276</v>
      </c>
      <c r="Z48" t="s">
        <v>92</v>
      </c>
      <c r="AA48" t="s">
        <v>276</v>
      </c>
      <c r="AB48" t="s">
        <v>272</v>
      </c>
      <c r="AC48" t="s">
        <v>273</v>
      </c>
      <c r="AD48" t="s">
        <v>278</v>
      </c>
      <c r="AE48" t="s">
        <v>53</v>
      </c>
      <c r="AF48" t="s">
        <v>275</v>
      </c>
      <c r="AG48" t="s">
        <v>276</v>
      </c>
      <c r="AH48" t="s">
        <v>276</v>
      </c>
      <c r="AI48" t="s">
        <v>276</v>
      </c>
      <c r="AJ48" t="s">
        <v>276</v>
      </c>
      <c r="AK48" t="s">
        <v>276</v>
      </c>
      <c r="AL48" t="s">
        <v>276</v>
      </c>
    </row>
    <row r="49" spans="1:39" x14ac:dyDescent="0.2">
      <c r="A49">
        <v>8</v>
      </c>
      <c r="B49" t="s">
        <v>72</v>
      </c>
      <c r="C49">
        <v>2006</v>
      </c>
      <c r="D49" t="s">
        <v>15</v>
      </c>
      <c r="E49" t="s">
        <v>25</v>
      </c>
      <c r="F49">
        <v>335</v>
      </c>
      <c r="G49">
        <v>334</v>
      </c>
      <c r="H49" t="s">
        <v>277</v>
      </c>
      <c r="I49" t="s">
        <v>271</v>
      </c>
      <c r="J49" t="s">
        <v>38</v>
      </c>
      <c r="K49" t="s">
        <v>180</v>
      </c>
      <c r="L49" t="s">
        <v>276</v>
      </c>
      <c r="M49" t="s">
        <v>276</v>
      </c>
      <c r="N49" t="s">
        <v>276</v>
      </c>
      <c r="O49" t="s">
        <v>276</v>
      </c>
      <c r="P49" t="s">
        <v>276</v>
      </c>
      <c r="Q49" t="s">
        <v>276</v>
      </c>
      <c r="R49" t="s">
        <v>276</v>
      </c>
      <c r="S49" t="s">
        <v>276</v>
      </c>
      <c r="T49" t="s">
        <v>276</v>
      </c>
      <c r="U49" t="s">
        <v>276</v>
      </c>
      <c r="V49" t="s">
        <v>276</v>
      </c>
      <c r="W49" t="s">
        <v>276</v>
      </c>
      <c r="X49" t="s">
        <v>281</v>
      </c>
      <c r="Y49" t="s">
        <v>276</v>
      </c>
      <c r="Z49" t="s">
        <v>92</v>
      </c>
      <c r="AA49" t="s">
        <v>276</v>
      </c>
      <c r="AB49" t="s">
        <v>272</v>
      </c>
      <c r="AC49" t="s">
        <v>273</v>
      </c>
      <c r="AD49" t="s">
        <v>277</v>
      </c>
      <c r="AE49" t="s">
        <v>53</v>
      </c>
      <c r="AF49" t="s">
        <v>275</v>
      </c>
      <c r="AG49" t="s">
        <v>276</v>
      </c>
      <c r="AH49" t="s">
        <v>276</v>
      </c>
      <c r="AI49" t="s">
        <v>276</v>
      </c>
      <c r="AJ49" t="s">
        <v>276</v>
      </c>
      <c r="AK49" t="s">
        <v>276</v>
      </c>
      <c r="AL49" t="s">
        <v>276</v>
      </c>
    </row>
    <row r="50" spans="1:39" x14ac:dyDescent="0.2">
      <c r="A50">
        <v>9</v>
      </c>
      <c r="B50" t="s">
        <v>106</v>
      </c>
      <c r="C50">
        <v>2020</v>
      </c>
      <c r="D50" t="s">
        <v>99</v>
      </c>
      <c r="E50" t="s">
        <v>71</v>
      </c>
      <c r="F50">
        <v>22</v>
      </c>
      <c r="G50">
        <v>35</v>
      </c>
      <c r="H50">
        <v>3</v>
      </c>
      <c r="I50" t="s">
        <v>38</v>
      </c>
      <c r="J50" t="s">
        <v>79</v>
      </c>
      <c r="K50" t="s">
        <v>103</v>
      </c>
      <c r="L50" t="s">
        <v>80</v>
      </c>
      <c r="M50" t="s">
        <v>84</v>
      </c>
      <c r="N50" t="s">
        <v>83</v>
      </c>
      <c r="O50" t="s">
        <v>85</v>
      </c>
      <c r="T50">
        <v>0.01</v>
      </c>
      <c r="U50">
        <v>0</v>
      </c>
      <c r="V50">
        <v>2.02</v>
      </c>
      <c r="W50" t="s">
        <v>90</v>
      </c>
      <c r="X50">
        <v>-2.09</v>
      </c>
      <c r="Y50">
        <v>0.01</v>
      </c>
      <c r="Z50" t="s">
        <v>92</v>
      </c>
      <c r="AA50" t="s">
        <v>94</v>
      </c>
      <c r="AB50" t="s">
        <v>108</v>
      </c>
      <c r="AC50" t="s">
        <v>78</v>
      </c>
      <c r="AD50" t="s">
        <v>51</v>
      </c>
      <c r="AE50" t="s">
        <v>53</v>
      </c>
      <c r="AF50" t="s">
        <v>96</v>
      </c>
      <c r="AG50" t="s">
        <v>97</v>
      </c>
      <c r="AH50" t="s">
        <v>98</v>
      </c>
      <c r="AI50" t="s">
        <v>100</v>
      </c>
      <c r="AJ50" t="s">
        <v>101</v>
      </c>
      <c r="AK50" t="s">
        <v>102</v>
      </c>
    </row>
    <row r="51" spans="1:39" x14ac:dyDescent="0.2">
      <c r="A51">
        <v>10</v>
      </c>
      <c r="B51" t="s">
        <v>74</v>
      </c>
      <c r="C51">
        <v>2015</v>
      </c>
      <c r="D51" t="s">
        <v>15</v>
      </c>
      <c r="E51" t="s">
        <v>71</v>
      </c>
      <c r="F51">
        <v>102</v>
      </c>
      <c r="G51">
        <v>92</v>
      </c>
      <c r="H51">
        <v>3</v>
      </c>
      <c r="I51" t="s">
        <v>38</v>
      </c>
      <c r="J51" t="s">
        <v>284</v>
      </c>
      <c r="K51" t="s">
        <v>285</v>
      </c>
      <c r="L51">
        <v>14.8</v>
      </c>
      <c r="M51">
        <v>7.5</v>
      </c>
      <c r="N51">
        <v>13.7</v>
      </c>
      <c r="O51">
        <v>7.5</v>
      </c>
      <c r="T51">
        <v>8.6999999999999993</v>
      </c>
      <c r="U51">
        <v>4.5</v>
      </c>
      <c r="V51">
        <v>12.1</v>
      </c>
      <c r="W51">
        <v>6.8</v>
      </c>
      <c r="X51">
        <v>-4.5000000000000018</v>
      </c>
      <c r="Y51">
        <v>0.8206351375523151</v>
      </c>
      <c r="Z51">
        <v>1.3020338011483424E-7</v>
      </c>
      <c r="AA51" t="s">
        <v>294</v>
      </c>
      <c r="AB51" t="s">
        <v>61</v>
      </c>
      <c r="AC51" t="s">
        <v>292</v>
      </c>
      <c r="AD51" t="s">
        <v>51</v>
      </c>
      <c r="AE51" t="s">
        <v>290</v>
      </c>
      <c r="AF51" t="s">
        <v>275</v>
      </c>
      <c r="AG51" t="s">
        <v>291</v>
      </c>
      <c r="AH51" t="s">
        <v>289</v>
      </c>
      <c r="AI51" t="s">
        <v>288</v>
      </c>
      <c r="AJ51" t="s">
        <v>287</v>
      </c>
      <c r="AK51" t="s">
        <v>286</v>
      </c>
      <c r="AM51" t="s">
        <v>282</v>
      </c>
    </row>
    <row r="52" spans="1:39" x14ac:dyDescent="0.2">
      <c r="A52">
        <v>10</v>
      </c>
      <c r="B52" t="s">
        <v>74</v>
      </c>
      <c r="C52">
        <v>2015</v>
      </c>
      <c r="D52" t="s">
        <v>15</v>
      </c>
      <c r="E52" t="s">
        <v>71</v>
      </c>
      <c r="F52">
        <v>102</v>
      </c>
      <c r="G52">
        <v>103</v>
      </c>
      <c r="H52">
        <v>3</v>
      </c>
      <c r="I52" t="s">
        <v>38</v>
      </c>
      <c r="J52" t="s">
        <v>284</v>
      </c>
      <c r="K52" t="s">
        <v>285</v>
      </c>
      <c r="L52">
        <v>14.1</v>
      </c>
      <c r="M52">
        <v>8.1</v>
      </c>
      <c r="N52">
        <v>13.7</v>
      </c>
      <c r="O52">
        <v>7.5</v>
      </c>
      <c r="T52">
        <v>7.1</v>
      </c>
      <c r="U52">
        <v>2.7</v>
      </c>
      <c r="V52">
        <v>12.1</v>
      </c>
      <c r="W52">
        <v>6.8</v>
      </c>
      <c r="X52">
        <v>-5.4</v>
      </c>
      <c r="Y52">
        <v>0.7239544408058145</v>
      </c>
      <c r="Z52">
        <v>2.4924213980773988E-12</v>
      </c>
      <c r="AA52" t="s">
        <v>294</v>
      </c>
      <c r="AB52" t="s">
        <v>61</v>
      </c>
      <c r="AC52" t="s">
        <v>293</v>
      </c>
      <c r="AD52" t="s">
        <v>51</v>
      </c>
      <c r="AE52" t="s">
        <v>290</v>
      </c>
      <c r="AF52" t="s">
        <v>275</v>
      </c>
      <c r="AG52" t="s">
        <v>291</v>
      </c>
      <c r="AH52" t="s">
        <v>289</v>
      </c>
      <c r="AI52" t="s">
        <v>288</v>
      </c>
      <c r="AJ52" t="s">
        <v>287</v>
      </c>
      <c r="AK52" t="s">
        <v>286</v>
      </c>
      <c r="AM52" t="s">
        <v>283</v>
      </c>
    </row>
    <row r="53" spans="1:39" x14ac:dyDescent="0.2">
      <c r="A53">
        <v>11</v>
      </c>
      <c r="B53" t="s">
        <v>75</v>
      </c>
      <c r="C53">
        <v>2006</v>
      </c>
      <c r="D53" t="s">
        <v>15</v>
      </c>
      <c r="E53" t="s">
        <v>25</v>
      </c>
      <c r="F53">
        <v>128</v>
      </c>
      <c r="G53">
        <v>138</v>
      </c>
      <c r="H53" t="s">
        <v>304</v>
      </c>
      <c r="I53" t="s">
        <v>38</v>
      </c>
      <c r="J53" t="s">
        <v>295</v>
      </c>
      <c r="K53" t="s">
        <v>105</v>
      </c>
      <c r="L53">
        <v>11.5</v>
      </c>
      <c r="M53">
        <v>6.1</v>
      </c>
      <c r="N53" t="s">
        <v>95</v>
      </c>
      <c r="O53" t="s">
        <v>95</v>
      </c>
      <c r="P53" t="s">
        <v>95</v>
      </c>
      <c r="Q53" t="s">
        <v>95</v>
      </c>
      <c r="R53" t="s">
        <v>95</v>
      </c>
      <c r="S53" t="s">
        <v>95</v>
      </c>
      <c r="T53" t="s">
        <v>95</v>
      </c>
      <c r="U53" t="s">
        <v>95</v>
      </c>
      <c r="V53" t="s">
        <v>95</v>
      </c>
      <c r="W53" t="s">
        <v>95</v>
      </c>
      <c r="X53">
        <v>-0.3</v>
      </c>
      <c r="Y53" t="s">
        <v>306</v>
      </c>
      <c r="Z53" t="s">
        <v>311</v>
      </c>
      <c r="AA53" t="s">
        <v>300</v>
      </c>
      <c r="AB53" t="s">
        <v>307</v>
      </c>
      <c r="AC53" t="s">
        <v>308</v>
      </c>
      <c r="AD53" t="s">
        <v>16</v>
      </c>
      <c r="AE53" t="s">
        <v>298</v>
      </c>
      <c r="AF53" t="s">
        <v>275</v>
      </c>
      <c r="AG53" t="s">
        <v>109</v>
      </c>
      <c r="AH53" t="s">
        <v>303</v>
      </c>
      <c r="AI53" t="s">
        <v>110</v>
      </c>
      <c r="AJ53" t="s">
        <v>299</v>
      </c>
      <c r="AK53" t="s">
        <v>305</v>
      </c>
      <c r="AL53" t="s">
        <v>302</v>
      </c>
      <c r="AM53" t="s">
        <v>301</v>
      </c>
    </row>
    <row r="54" spans="1:39" x14ac:dyDescent="0.2">
      <c r="A54">
        <v>11</v>
      </c>
      <c r="B54" t="s">
        <v>75</v>
      </c>
      <c r="C54">
        <v>2006</v>
      </c>
      <c r="D54" t="s">
        <v>15</v>
      </c>
      <c r="E54" t="s">
        <v>25</v>
      </c>
      <c r="F54">
        <v>128</v>
      </c>
      <c r="G54">
        <v>122</v>
      </c>
      <c r="H54" t="s">
        <v>304</v>
      </c>
      <c r="I54" t="s">
        <v>38</v>
      </c>
      <c r="J54" t="s">
        <v>295</v>
      </c>
      <c r="K54" t="s">
        <v>105</v>
      </c>
      <c r="L54">
        <v>11.5</v>
      </c>
      <c r="M54">
        <v>6.1</v>
      </c>
      <c r="N54" t="s">
        <v>95</v>
      </c>
      <c r="O54" t="s">
        <v>95</v>
      </c>
      <c r="P54" t="s">
        <v>95</v>
      </c>
      <c r="Q54" t="s">
        <v>95</v>
      </c>
      <c r="R54" t="s">
        <v>95</v>
      </c>
      <c r="S54" t="s">
        <v>95</v>
      </c>
      <c r="T54" t="s">
        <v>95</v>
      </c>
      <c r="U54" t="s">
        <v>95</v>
      </c>
      <c r="V54" t="s">
        <v>95</v>
      </c>
      <c r="W54" t="s">
        <v>95</v>
      </c>
      <c r="X54">
        <v>0.1</v>
      </c>
      <c r="Y54" t="s">
        <v>309</v>
      </c>
      <c r="Z54" t="s">
        <v>310</v>
      </c>
      <c r="AA54" t="s">
        <v>300</v>
      </c>
      <c r="AB54" t="s">
        <v>296</v>
      </c>
      <c r="AC54" t="s">
        <v>55</v>
      </c>
      <c r="AD54" t="s">
        <v>16</v>
      </c>
      <c r="AE54" t="s">
        <v>298</v>
      </c>
      <c r="AF54" t="s">
        <v>275</v>
      </c>
      <c r="AG54" t="s">
        <v>109</v>
      </c>
      <c r="AH54" t="s">
        <v>303</v>
      </c>
      <c r="AI54" t="s">
        <v>110</v>
      </c>
      <c r="AJ54" t="s">
        <v>299</v>
      </c>
      <c r="AK54" t="s">
        <v>305</v>
      </c>
      <c r="AL54" t="s">
        <v>302</v>
      </c>
      <c r="AM54" t="s">
        <v>301</v>
      </c>
    </row>
    <row r="55" spans="1:39" x14ac:dyDescent="0.2">
      <c r="A55">
        <v>12</v>
      </c>
      <c r="B55" t="s">
        <v>19</v>
      </c>
      <c r="C55">
        <v>2003</v>
      </c>
      <c r="D55" t="s">
        <v>73</v>
      </c>
      <c r="E55" t="s">
        <v>28</v>
      </c>
      <c r="G55">
        <v>100</v>
      </c>
      <c r="H55">
        <v>3</v>
      </c>
      <c r="I55" t="s">
        <v>38</v>
      </c>
      <c r="J55" t="s">
        <v>32</v>
      </c>
      <c r="AB55" t="s">
        <v>46</v>
      </c>
      <c r="AC55" t="s">
        <v>52</v>
      </c>
      <c r="AD55" t="s">
        <v>52</v>
      </c>
      <c r="AE55" t="s">
        <v>50</v>
      </c>
      <c r="AF55" t="s">
        <v>43</v>
      </c>
      <c r="AM55" t="s">
        <v>152</v>
      </c>
    </row>
    <row r="56" spans="1:39" x14ac:dyDescent="0.2">
      <c r="A56">
        <v>12</v>
      </c>
      <c r="B56" t="s">
        <v>19</v>
      </c>
      <c r="C56">
        <v>2003</v>
      </c>
      <c r="D56" t="s">
        <v>73</v>
      </c>
      <c r="E56" t="s">
        <v>28</v>
      </c>
      <c r="G56">
        <v>100</v>
      </c>
      <c r="H56">
        <v>3</v>
      </c>
      <c r="I56" t="s">
        <v>38</v>
      </c>
      <c r="J56" t="s">
        <v>32</v>
      </c>
      <c r="AB56" t="s">
        <v>46</v>
      </c>
      <c r="AC56" t="s">
        <v>52</v>
      </c>
      <c r="AD56" t="s">
        <v>51</v>
      </c>
      <c r="AE56" t="s">
        <v>53</v>
      </c>
      <c r="AF56" t="s">
        <v>43</v>
      </c>
    </row>
    <row r="57" spans="1:39" x14ac:dyDescent="0.2">
      <c r="A57">
        <v>12</v>
      </c>
      <c r="B57" t="s">
        <v>19</v>
      </c>
      <c r="C57">
        <v>2003</v>
      </c>
      <c r="D57" t="s">
        <v>73</v>
      </c>
      <c r="E57" t="s">
        <v>28</v>
      </c>
      <c r="G57">
        <v>100</v>
      </c>
      <c r="H57">
        <v>3</v>
      </c>
      <c r="I57" t="s">
        <v>38</v>
      </c>
      <c r="J57" t="s">
        <v>32</v>
      </c>
      <c r="AB57" t="s">
        <v>46</v>
      </c>
      <c r="AC57" t="s">
        <v>52</v>
      </c>
      <c r="AD57" t="s">
        <v>51</v>
      </c>
      <c r="AE57" t="s">
        <v>53</v>
      </c>
      <c r="AF57" t="s">
        <v>43</v>
      </c>
    </row>
    <row r="58" spans="1:39" x14ac:dyDescent="0.2">
      <c r="A58">
        <v>13</v>
      </c>
      <c r="B58" t="s">
        <v>24</v>
      </c>
      <c r="C58">
        <v>2011</v>
      </c>
      <c r="D58" t="s">
        <v>73</v>
      </c>
      <c r="E58" t="s">
        <v>29</v>
      </c>
      <c r="G58">
        <v>358</v>
      </c>
      <c r="H58" t="s">
        <v>39</v>
      </c>
      <c r="I58" t="s">
        <v>38</v>
      </c>
      <c r="J58" t="s">
        <v>32</v>
      </c>
      <c r="AB58" t="s">
        <v>61</v>
      </c>
      <c r="AC58" t="s">
        <v>66</v>
      </c>
      <c r="AD58" t="s">
        <v>52</v>
      </c>
      <c r="AE58" t="s">
        <v>52</v>
      </c>
      <c r="AF58" t="s">
        <v>45</v>
      </c>
    </row>
    <row r="59" spans="1:39" x14ac:dyDescent="0.2">
      <c r="A59">
        <v>13</v>
      </c>
      <c r="B59" t="s">
        <v>24</v>
      </c>
      <c r="C59">
        <v>2011</v>
      </c>
      <c r="D59" t="s">
        <v>73</v>
      </c>
      <c r="E59" t="s">
        <v>29</v>
      </c>
      <c r="G59">
        <v>358</v>
      </c>
      <c r="H59" t="s">
        <v>39</v>
      </c>
      <c r="I59" t="s">
        <v>38</v>
      </c>
      <c r="J59" t="s">
        <v>32</v>
      </c>
      <c r="AB59" t="s">
        <v>65</v>
      </c>
      <c r="AC59" t="s">
        <v>68</v>
      </c>
      <c r="AD59" t="s">
        <v>52</v>
      </c>
      <c r="AE59" t="s">
        <v>69</v>
      </c>
      <c r="AF59" t="s">
        <v>45</v>
      </c>
    </row>
    <row r="62" spans="1:39" x14ac:dyDescent="0.2">
      <c r="A62" t="s">
        <v>314</v>
      </c>
    </row>
    <row r="63" spans="1:39" x14ac:dyDescent="0.2">
      <c r="A63" t="s">
        <v>144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8716-2510-7A48-A8E7-CC1C806BCB1F}">
  <dimension ref="A1:AP63"/>
  <sheetViews>
    <sheetView topLeftCell="A50" workbookViewId="0">
      <selection activeCell="A58" sqref="A58"/>
    </sheetView>
  </sheetViews>
  <sheetFormatPr baseColWidth="10" defaultRowHeight="16" x14ac:dyDescent="0.2"/>
  <sheetData>
    <row r="1" spans="1:42" x14ac:dyDescent="0.2">
      <c r="A1" t="s">
        <v>313</v>
      </c>
      <c r="B1" t="s">
        <v>312</v>
      </c>
      <c r="C1" t="s">
        <v>0</v>
      </c>
      <c r="D1" t="s">
        <v>1</v>
      </c>
      <c r="E1" t="s">
        <v>2</v>
      </c>
      <c r="F1" t="s">
        <v>135</v>
      </c>
      <c r="G1" t="s">
        <v>134</v>
      </c>
      <c r="H1" t="s">
        <v>41</v>
      </c>
      <c r="I1" t="s">
        <v>37</v>
      </c>
      <c r="J1" t="s">
        <v>36</v>
      </c>
      <c r="K1" t="s">
        <v>111</v>
      </c>
      <c r="L1" t="s">
        <v>82</v>
      </c>
      <c r="M1" t="s">
        <v>77</v>
      </c>
      <c r="N1" t="s">
        <v>81</v>
      </c>
      <c r="O1" t="s">
        <v>76</v>
      </c>
      <c r="P1" t="s">
        <v>3</v>
      </c>
      <c r="Q1" t="s">
        <v>4</v>
      </c>
      <c r="R1" t="s">
        <v>5</v>
      </c>
      <c r="S1" t="s">
        <v>6</v>
      </c>
      <c r="T1" t="s">
        <v>86</v>
      </c>
      <c r="U1" t="s">
        <v>87</v>
      </c>
      <c r="V1" t="s">
        <v>88</v>
      </c>
      <c r="W1" t="s">
        <v>89</v>
      </c>
      <c r="X1" t="s">
        <v>112</v>
      </c>
      <c r="Y1" t="s">
        <v>183</v>
      </c>
      <c r="Z1" t="s">
        <v>91</v>
      </c>
      <c r="AA1" t="s">
        <v>315</v>
      </c>
      <c r="AB1" t="s">
        <v>316</v>
      </c>
      <c r="AC1" t="s">
        <v>93</v>
      </c>
      <c r="AD1" t="s">
        <v>40</v>
      </c>
      <c r="AE1" t="s">
        <v>7</v>
      </c>
      <c r="AF1" t="s">
        <v>8</v>
      </c>
      <c r="AG1" t="s">
        <v>9</v>
      </c>
      <c r="AH1" t="s">
        <v>10</v>
      </c>
      <c r="AI1" t="s">
        <v>11</v>
      </c>
      <c r="AJ1" t="s">
        <v>12</v>
      </c>
      <c r="AK1" t="s">
        <v>13</v>
      </c>
      <c r="AL1" t="s">
        <v>169</v>
      </c>
      <c r="AM1" t="s">
        <v>14</v>
      </c>
      <c r="AN1" t="s">
        <v>129</v>
      </c>
      <c r="AO1" t="s">
        <v>317</v>
      </c>
      <c r="AP1" t="s">
        <v>184</v>
      </c>
    </row>
    <row r="2" spans="1:42" x14ac:dyDescent="0.2">
      <c r="A2">
        <v>1</v>
      </c>
      <c r="B2">
        <v>2006</v>
      </c>
      <c r="C2" t="s">
        <v>17</v>
      </c>
      <c r="D2" t="s">
        <v>15</v>
      </c>
      <c r="E2" t="s">
        <v>25</v>
      </c>
      <c r="F2">
        <v>122</v>
      </c>
      <c r="G2">
        <v>129</v>
      </c>
      <c r="H2">
        <v>6</v>
      </c>
      <c r="I2" t="s">
        <v>38</v>
      </c>
      <c r="J2" t="s">
        <v>31</v>
      </c>
      <c r="K2">
        <v>53.7</v>
      </c>
      <c r="L2">
        <v>12.5</v>
      </c>
      <c r="M2">
        <v>7.3</v>
      </c>
      <c r="N2">
        <v>10.7</v>
      </c>
      <c r="O2">
        <v>5.88</v>
      </c>
      <c r="T2">
        <v>10.88</v>
      </c>
      <c r="U2" t="s">
        <v>114</v>
      </c>
      <c r="V2">
        <v>9.2200000000000006</v>
      </c>
      <c r="W2" t="s">
        <v>113</v>
      </c>
      <c r="X2">
        <v>-0.14000000000000001</v>
      </c>
      <c r="Y2" t="s">
        <v>148</v>
      </c>
      <c r="Z2" t="s">
        <v>115</v>
      </c>
      <c r="AC2" t="s">
        <v>150</v>
      </c>
      <c r="AD2" t="s">
        <v>116</v>
      </c>
      <c r="AE2" t="s">
        <v>54</v>
      </c>
      <c r="AF2" t="s">
        <v>16</v>
      </c>
      <c r="AG2" t="s">
        <v>53</v>
      </c>
      <c r="AH2" t="s">
        <v>42</v>
      </c>
      <c r="AI2" t="s">
        <v>109</v>
      </c>
      <c r="AJ2" t="s">
        <v>120</v>
      </c>
      <c r="AK2" t="s">
        <v>110</v>
      </c>
      <c r="AL2" t="s">
        <v>101</v>
      </c>
      <c r="AM2" t="s">
        <v>121</v>
      </c>
      <c r="AN2" t="s">
        <v>131</v>
      </c>
      <c r="AP2" t="s">
        <v>46</v>
      </c>
    </row>
    <row r="3" spans="1:42" x14ac:dyDescent="0.2">
      <c r="A3">
        <v>1</v>
      </c>
      <c r="B3">
        <v>2006</v>
      </c>
      <c r="C3" t="s">
        <v>17</v>
      </c>
      <c r="D3" t="s">
        <v>15</v>
      </c>
      <c r="E3" t="s">
        <v>25</v>
      </c>
      <c r="F3">
        <v>122</v>
      </c>
      <c r="G3">
        <v>113</v>
      </c>
      <c r="H3">
        <v>6</v>
      </c>
      <c r="I3" t="s">
        <v>38</v>
      </c>
      <c r="J3" t="s">
        <v>31</v>
      </c>
      <c r="K3">
        <v>57.3</v>
      </c>
      <c r="L3">
        <v>10.7</v>
      </c>
      <c r="M3">
        <v>4.54</v>
      </c>
      <c r="N3">
        <v>10.7</v>
      </c>
      <c r="O3">
        <v>5.88</v>
      </c>
      <c r="T3">
        <v>9.5</v>
      </c>
      <c r="U3" t="s">
        <v>113</v>
      </c>
      <c r="V3">
        <v>9.2200000000000006</v>
      </c>
      <c r="W3" t="s">
        <v>113</v>
      </c>
      <c r="X3">
        <v>-0.27999999999999903</v>
      </c>
      <c r="Y3" t="s">
        <v>147</v>
      </c>
      <c r="Z3" t="s">
        <v>115</v>
      </c>
      <c r="AC3" t="s">
        <v>150</v>
      </c>
      <c r="AD3" t="s">
        <v>117</v>
      </c>
      <c r="AE3" t="s">
        <v>55</v>
      </c>
      <c r="AF3" t="s">
        <v>118</v>
      </c>
      <c r="AG3" t="s">
        <v>53</v>
      </c>
      <c r="AH3" t="s">
        <v>42</v>
      </c>
      <c r="AI3" t="s">
        <v>109</v>
      </c>
      <c r="AJ3" t="s">
        <v>120</v>
      </c>
      <c r="AK3" t="s">
        <v>110</v>
      </c>
      <c r="AL3" t="s">
        <v>101</v>
      </c>
      <c r="AM3" t="s">
        <v>121</v>
      </c>
      <c r="AN3" t="s">
        <v>131</v>
      </c>
      <c r="AP3" t="s">
        <v>47</v>
      </c>
    </row>
    <row r="4" spans="1:42" x14ac:dyDescent="0.2">
      <c r="A4">
        <v>1</v>
      </c>
      <c r="B4">
        <v>2006</v>
      </c>
      <c r="C4" t="s">
        <v>17</v>
      </c>
      <c r="D4" t="s">
        <v>15</v>
      </c>
      <c r="E4" t="s">
        <v>25</v>
      </c>
      <c r="F4">
        <v>122</v>
      </c>
      <c r="G4">
        <v>117</v>
      </c>
      <c r="H4">
        <v>6</v>
      </c>
      <c r="I4" t="s">
        <v>38</v>
      </c>
      <c r="J4" t="s">
        <v>31</v>
      </c>
      <c r="K4">
        <v>59.1</v>
      </c>
      <c r="L4">
        <v>11.7</v>
      </c>
      <c r="M4">
        <v>5.66</v>
      </c>
      <c r="N4">
        <v>10.7</v>
      </c>
      <c r="O4">
        <v>5.88</v>
      </c>
      <c r="T4">
        <v>9.93</v>
      </c>
      <c r="U4" t="s">
        <v>113</v>
      </c>
      <c r="V4">
        <v>9.2200000000000006</v>
      </c>
      <c r="W4" t="s">
        <v>113</v>
      </c>
      <c r="X4">
        <v>0.29000000000000098</v>
      </c>
      <c r="Y4" t="s">
        <v>146</v>
      </c>
      <c r="Z4" t="s">
        <v>115</v>
      </c>
      <c r="AC4" t="s">
        <v>150</v>
      </c>
      <c r="AD4" t="s">
        <v>48</v>
      </c>
      <c r="AE4" t="s">
        <v>56</v>
      </c>
      <c r="AF4" t="s">
        <v>119</v>
      </c>
      <c r="AG4" t="s">
        <v>53</v>
      </c>
      <c r="AH4" t="s">
        <v>42</v>
      </c>
      <c r="AI4" t="s">
        <v>109</v>
      </c>
      <c r="AJ4" t="s">
        <v>120</v>
      </c>
      <c r="AK4" t="s">
        <v>110</v>
      </c>
      <c r="AL4" t="s">
        <v>101</v>
      </c>
      <c r="AM4" t="s">
        <v>121</v>
      </c>
      <c r="AN4" t="s">
        <v>131</v>
      </c>
      <c r="AP4" t="s">
        <v>48</v>
      </c>
    </row>
    <row r="5" spans="1:42" x14ac:dyDescent="0.2">
      <c r="A5">
        <v>2</v>
      </c>
      <c r="B5">
        <v>2006</v>
      </c>
      <c r="C5" t="s">
        <v>18</v>
      </c>
      <c r="D5" t="s">
        <v>15</v>
      </c>
      <c r="E5" t="s">
        <v>26</v>
      </c>
      <c r="F5">
        <v>68</v>
      </c>
      <c r="G5">
        <v>66</v>
      </c>
      <c r="H5">
        <v>4</v>
      </c>
      <c r="I5" t="s">
        <v>38</v>
      </c>
      <c r="J5" t="s">
        <v>30</v>
      </c>
      <c r="K5" t="s">
        <v>122</v>
      </c>
      <c r="L5" t="s">
        <v>139</v>
      </c>
      <c r="M5" t="s">
        <v>136</v>
      </c>
      <c r="N5" t="s">
        <v>137</v>
      </c>
      <c r="O5" t="s">
        <v>138</v>
      </c>
      <c r="T5" t="s">
        <v>140</v>
      </c>
      <c r="U5" t="s">
        <v>142</v>
      </c>
      <c r="V5" t="s">
        <v>141</v>
      </c>
      <c r="W5" t="s">
        <v>143</v>
      </c>
      <c r="X5">
        <v>-2.2000000000000002</v>
      </c>
      <c r="Y5" t="s">
        <v>145</v>
      </c>
      <c r="Z5" t="s">
        <v>149</v>
      </c>
      <c r="AC5" t="s">
        <v>151</v>
      </c>
      <c r="AD5" t="s">
        <v>59</v>
      </c>
      <c r="AE5" t="s">
        <v>123</v>
      </c>
      <c r="AF5" t="s">
        <v>16</v>
      </c>
      <c r="AG5" t="s">
        <v>124</v>
      </c>
      <c r="AH5" t="s">
        <v>125</v>
      </c>
      <c r="AI5" t="s">
        <v>109</v>
      </c>
      <c r="AJ5" t="s">
        <v>126</v>
      </c>
      <c r="AK5" t="s">
        <v>127</v>
      </c>
      <c r="AL5" t="s">
        <v>158</v>
      </c>
      <c r="AM5" t="s">
        <v>128</v>
      </c>
      <c r="AN5" t="s">
        <v>130</v>
      </c>
      <c r="AO5" t="s">
        <v>133</v>
      </c>
    </row>
    <row r="6" spans="1:42" x14ac:dyDescent="0.2">
      <c r="A6">
        <v>3</v>
      </c>
      <c r="B6">
        <v>2004</v>
      </c>
      <c r="C6" t="s">
        <v>20</v>
      </c>
      <c r="D6" t="s">
        <v>15</v>
      </c>
      <c r="E6" t="s">
        <v>27</v>
      </c>
      <c r="F6">
        <v>32</v>
      </c>
      <c r="G6">
        <v>35</v>
      </c>
      <c r="H6">
        <v>6</v>
      </c>
      <c r="I6" t="s">
        <v>38</v>
      </c>
      <c r="J6" t="s">
        <v>33</v>
      </c>
      <c r="K6" t="s">
        <v>105</v>
      </c>
      <c r="L6">
        <v>20.7</v>
      </c>
      <c r="M6">
        <v>5.8</v>
      </c>
      <c r="N6">
        <v>21.4</v>
      </c>
      <c r="O6">
        <v>8.6999999999999993</v>
      </c>
      <c r="T6">
        <v>15.1</v>
      </c>
      <c r="U6">
        <v>6.3</v>
      </c>
      <c r="V6">
        <v>16.600000000000001</v>
      </c>
      <c r="W6">
        <v>7.2</v>
      </c>
      <c r="X6">
        <v>-0.80000000000000249</v>
      </c>
      <c r="Y6" t="s">
        <v>163</v>
      </c>
      <c r="Z6" t="s">
        <v>164</v>
      </c>
      <c r="AC6" t="s">
        <v>165</v>
      </c>
      <c r="AD6" t="s">
        <v>154</v>
      </c>
      <c r="AE6" t="s">
        <v>49</v>
      </c>
      <c r="AF6" t="s">
        <v>51</v>
      </c>
      <c r="AG6" t="s">
        <v>155</v>
      </c>
      <c r="AH6" t="s">
        <v>42</v>
      </c>
      <c r="AI6" t="s">
        <v>156</v>
      </c>
      <c r="AJ6" t="s">
        <v>160</v>
      </c>
      <c r="AK6" t="s">
        <v>157</v>
      </c>
      <c r="AL6" t="s">
        <v>159</v>
      </c>
      <c r="AM6" t="s">
        <v>153</v>
      </c>
      <c r="AN6" t="s">
        <v>161</v>
      </c>
      <c r="AO6" t="s">
        <v>162</v>
      </c>
    </row>
    <row r="7" spans="1:42" x14ac:dyDescent="0.2">
      <c r="A7">
        <v>4</v>
      </c>
      <c r="B7">
        <v>1999</v>
      </c>
      <c r="C7" t="s">
        <v>21</v>
      </c>
      <c r="D7" t="s">
        <v>15</v>
      </c>
      <c r="E7" t="s">
        <v>27</v>
      </c>
      <c r="F7">
        <v>45</v>
      </c>
      <c r="G7">
        <v>44</v>
      </c>
      <c r="H7">
        <v>4</v>
      </c>
      <c r="I7" t="s">
        <v>38</v>
      </c>
      <c r="J7" t="s">
        <v>34</v>
      </c>
      <c r="K7" t="s">
        <v>105</v>
      </c>
      <c r="L7">
        <v>0.12</v>
      </c>
      <c r="M7">
        <v>7.0000000000000007E-2</v>
      </c>
      <c r="N7">
        <v>0.12</v>
      </c>
      <c r="O7">
        <v>7.0000000000000007E-2</v>
      </c>
      <c r="P7">
        <v>7.0000000000000007E-2</v>
      </c>
      <c r="Q7">
        <v>0.06</v>
      </c>
      <c r="R7">
        <v>0.05</v>
      </c>
      <c r="S7">
        <v>0.04</v>
      </c>
      <c r="T7">
        <v>0.17</v>
      </c>
      <c r="U7">
        <v>0.08</v>
      </c>
      <c r="V7">
        <v>0.22</v>
      </c>
      <c r="W7">
        <v>0.11</v>
      </c>
      <c r="X7">
        <v>-4.9999999999999989E-2</v>
      </c>
      <c r="Y7">
        <v>2.0355427638431827E-2</v>
      </c>
      <c r="Z7">
        <v>1.6022773024322885E-2</v>
      </c>
      <c r="AC7" t="s">
        <v>175</v>
      </c>
      <c r="AD7" t="s">
        <v>57</v>
      </c>
      <c r="AE7" t="s">
        <v>174</v>
      </c>
      <c r="AF7" t="s">
        <v>166</v>
      </c>
      <c r="AG7" t="s">
        <v>60</v>
      </c>
      <c r="AH7" t="s">
        <v>44</v>
      </c>
      <c r="AI7" t="s">
        <v>58</v>
      </c>
      <c r="AJ7" t="s">
        <v>170</v>
      </c>
      <c r="AK7" t="s">
        <v>171</v>
      </c>
      <c r="AL7" t="s">
        <v>168</v>
      </c>
      <c r="AM7" t="s">
        <v>172</v>
      </c>
      <c r="AO7" t="s">
        <v>167</v>
      </c>
      <c r="AP7" t="s">
        <v>185</v>
      </c>
    </row>
    <row r="8" spans="1:42" x14ac:dyDescent="0.2">
      <c r="A8">
        <v>4</v>
      </c>
      <c r="B8">
        <v>1999</v>
      </c>
      <c r="C8" t="s">
        <v>21</v>
      </c>
      <c r="D8" t="s">
        <v>15</v>
      </c>
      <c r="E8" t="s">
        <v>27</v>
      </c>
      <c r="F8">
        <v>41</v>
      </c>
      <c r="G8">
        <v>40</v>
      </c>
      <c r="H8">
        <v>9</v>
      </c>
      <c r="I8" t="s">
        <v>38</v>
      </c>
      <c r="J8" t="s">
        <v>34</v>
      </c>
      <c r="K8" t="s">
        <v>105</v>
      </c>
      <c r="L8">
        <v>0.12</v>
      </c>
      <c r="M8">
        <v>7.0000000000000007E-2</v>
      </c>
      <c r="N8">
        <v>0.12</v>
      </c>
      <c r="O8">
        <v>7.0000000000000007E-2</v>
      </c>
      <c r="P8">
        <v>7.0000000000000007E-2</v>
      </c>
      <c r="Q8">
        <v>0.06</v>
      </c>
      <c r="R8">
        <v>0.05</v>
      </c>
      <c r="S8">
        <v>0.04</v>
      </c>
      <c r="T8">
        <v>0.23</v>
      </c>
      <c r="U8">
        <v>0.17</v>
      </c>
      <c r="V8">
        <v>0.24</v>
      </c>
      <c r="W8">
        <v>0.13</v>
      </c>
      <c r="X8">
        <v>-9.9999999999999811E-3</v>
      </c>
      <c r="Y8">
        <v>3.3685235964012773E-2</v>
      </c>
      <c r="Z8">
        <v>0.76734797488286599</v>
      </c>
      <c r="AC8" t="s">
        <v>175</v>
      </c>
      <c r="AD8" t="s">
        <v>57</v>
      </c>
      <c r="AE8" t="s">
        <v>173</v>
      </c>
      <c r="AF8" t="s">
        <v>62</v>
      </c>
      <c r="AG8" t="s">
        <v>60</v>
      </c>
      <c r="AH8" t="s">
        <v>44</v>
      </c>
      <c r="AI8" t="s">
        <v>58</v>
      </c>
      <c r="AJ8" t="s">
        <v>170</v>
      </c>
      <c r="AK8" t="s">
        <v>171</v>
      </c>
      <c r="AL8" t="s">
        <v>168</v>
      </c>
      <c r="AM8" t="s">
        <v>172</v>
      </c>
      <c r="AO8" t="s">
        <v>167</v>
      </c>
      <c r="AP8" t="s">
        <v>186</v>
      </c>
    </row>
    <row r="9" spans="1:42" x14ac:dyDescent="0.2">
      <c r="A9">
        <v>5</v>
      </c>
      <c r="B9">
        <v>2003</v>
      </c>
      <c r="C9" t="s">
        <v>22</v>
      </c>
      <c r="D9" t="s">
        <v>15</v>
      </c>
      <c r="E9" t="s">
        <v>25</v>
      </c>
      <c r="F9">
        <v>320.84000000000003</v>
      </c>
      <c r="G9">
        <v>296.15999999999997</v>
      </c>
      <c r="H9">
        <v>3</v>
      </c>
      <c r="I9" t="s">
        <v>182</v>
      </c>
      <c r="J9" t="s">
        <v>179</v>
      </c>
      <c r="K9" t="s">
        <v>180</v>
      </c>
      <c r="L9">
        <v>9.1999999999999993</v>
      </c>
      <c r="M9">
        <v>4.2</v>
      </c>
      <c r="N9">
        <v>9.4</v>
      </c>
      <c r="O9">
        <v>5</v>
      </c>
      <c r="T9" t="s">
        <v>95</v>
      </c>
      <c r="U9" t="s">
        <v>95</v>
      </c>
      <c r="V9" t="s">
        <v>95</v>
      </c>
      <c r="W9" t="s">
        <v>95</v>
      </c>
      <c r="X9">
        <v>-0.12</v>
      </c>
      <c r="Y9" t="s">
        <v>199</v>
      </c>
      <c r="AC9" t="s">
        <v>214</v>
      </c>
      <c r="AD9" t="s">
        <v>61</v>
      </c>
      <c r="AE9" t="s">
        <v>67</v>
      </c>
      <c r="AF9" t="s">
        <v>181</v>
      </c>
      <c r="AG9" t="s">
        <v>177</v>
      </c>
      <c r="AH9" t="s">
        <v>42</v>
      </c>
      <c r="AI9" t="s">
        <v>218</v>
      </c>
      <c r="AJ9" t="s">
        <v>215</v>
      </c>
      <c r="AK9" t="s">
        <v>110</v>
      </c>
      <c r="AL9" t="s">
        <v>216</v>
      </c>
      <c r="AM9" t="s">
        <v>176</v>
      </c>
      <c r="AN9" t="s">
        <v>38</v>
      </c>
      <c r="AO9" t="s">
        <v>178</v>
      </c>
      <c r="AP9" t="s">
        <v>187</v>
      </c>
    </row>
    <row r="10" spans="1:42" x14ac:dyDescent="0.2">
      <c r="A10">
        <v>5</v>
      </c>
      <c r="B10">
        <v>2003</v>
      </c>
      <c r="C10" t="s">
        <v>22</v>
      </c>
      <c r="D10" t="s">
        <v>15</v>
      </c>
      <c r="E10" t="s">
        <v>25</v>
      </c>
      <c r="F10">
        <v>320.84000000000003</v>
      </c>
      <c r="G10">
        <v>296.15999999999997</v>
      </c>
      <c r="H10">
        <v>6</v>
      </c>
      <c r="I10" t="s">
        <v>182</v>
      </c>
      <c r="J10" t="s">
        <v>179</v>
      </c>
      <c r="K10" t="s">
        <v>180</v>
      </c>
      <c r="L10" t="s">
        <v>95</v>
      </c>
      <c r="M10" t="s">
        <v>95</v>
      </c>
      <c r="N10" t="s">
        <v>95</v>
      </c>
      <c r="O10" t="s">
        <v>95</v>
      </c>
      <c r="T10" t="s">
        <v>95</v>
      </c>
      <c r="U10" t="s">
        <v>95</v>
      </c>
      <c r="V10" t="s">
        <v>95</v>
      </c>
      <c r="W10" t="s">
        <v>95</v>
      </c>
      <c r="X10">
        <v>-0.22</v>
      </c>
      <c r="Y10" t="s">
        <v>200</v>
      </c>
      <c r="AC10" t="s">
        <v>214</v>
      </c>
      <c r="AD10" t="s">
        <v>61</v>
      </c>
      <c r="AE10" t="s">
        <v>67</v>
      </c>
      <c r="AF10" t="s">
        <v>63</v>
      </c>
      <c r="AG10" t="s">
        <v>177</v>
      </c>
      <c r="AH10" t="s">
        <v>42</v>
      </c>
      <c r="AI10" t="s">
        <v>218</v>
      </c>
      <c r="AJ10" t="s">
        <v>215</v>
      </c>
      <c r="AK10" t="s">
        <v>110</v>
      </c>
      <c r="AL10" t="s">
        <v>216</v>
      </c>
      <c r="AM10" t="s">
        <v>95</v>
      </c>
      <c r="AN10" t="s">
        <v>38</v>
      </c>
      <c r="AO10" t="s">
        <v>178</v>
      </c>
      <c r="AP10" t="s">
        <v>188</v>
      </c>
    </row>
    <row r="11" spans="1:42" x14ac:dyDescent="0.2">
      <c r="A11">
        <v>5</v>
      </c>
      <c r="B11">
        <v>2003</v>
      </c>
      <c r="C11" t="s">
        <v>22</v>
      </c>
      <c r="D11" t="s">
        <v>15</v>
      </c>
      <c r="E11" t="s">
        <v>25</v>
      </c>
      <c r="F11">
        <v>317.2</v>
      </c>
      <c r="G11">
        <v>292.79999999999995</v>
      </c>
      <c r="H11">
        <v>6</v>
      </c>
      <c r="I11" t="s">
        <v>182</v>
      </c>
      <c r="J11" t="s">
        <v>179</v>
      </c>
      <c r="K11" t="s">
        <v>180</v>
      </c>
      <c r="L11" t="s">
        <v>95</v>
      </c>
      <c r="M11" t="s">
        <v>95</v>
      </c>
      <c r="N11" t="s">
        <v>95</v>
      </c>
      <c r="O11" t="s">
        <v>95</v>
      </c>
      <c r="T11" t="s">
        <v>95</v>
      </c>
      <c r="U11" t="s">
        <v>95</v>
      </c>
      <c r="V11" t="s">
        <v>95</v>
      </c>
      <c r="W11" t="s">
        <v>95</v>
      </c>
      <c r="X11">
        <v>-0.28999999999999998</v>
      </c>
      <c r="Y11" t="s">
        <v>201</v>
      </c>
      <c r="AC11" t="s">
        <v>214</v>
      </c>
      <c r="AD11" t="s">
        <v>61</v>
      </c>
      <c r="AE11" t="s">
        <v>67</v>
      </c>
      <c r="AF11" t="s">
        <v>63</v>
      </c>
      <c r="AG11" t="s">
        <v>177</v>
      </c>
      <c r="AH11" t="s">
        <v>42</v>
      </c>
      <c r="AI11" t="s">
        <v>218</v>
      </c>
      <c r="AJ11" t="s">
        <v>215</v>
      </c>
      <c r="AK11" t="s">
        <v>110</v>
      </c>
      <c r="AL11" t="s">
        <v>216</v>
      </c>
      <c r="AM11" t="s">
        <v>95</v>
      </c>
      <c r="AN11" t="s">
        <v>38</v>
      </c>
      <c r="AO11" t="s">
        <v>178</v>
      </c>
      <c r="AP11" t="s">
        <v>189</v>
      </c>
    </row>
    <row r="12" spans="1:42" x14ac:dyDescent="0.2">
      <c r="A12">
        <v>5</v>
      </c>
      <c r="B12">
        <v>2003</v>
      </c>
      <c r="C12" t="s">
        <v>22</v>
      </c>
      <c r="D12" t="s">
        <v>15</v>
      </c>
      <c r="E12" t="s">
        <v>25</v>
      </c>
      <c r="F12">
        <v>285.22676000000001</v>
      </c>
      <c r="G12">
        <v>269.80176</v>
      </c>
      <c r="H12">
        <v>3</v>
      </c>
      <c r="I12" t="s">
        <v>182</v>
      </c>
      <c r="J12" t="s">
        <v>179</v>
      </c>
      <c r="K12" t="s">
        <v>180</v>
      </c>
      <c r="L12" t="s">
        <v>95</v>
      </c>
      <c r="M12" t="s">
        <v>95</v>
      </c>
      <c r="N12" t="s">
        <v>95</v>
      </c>
      <c r="O12" t="s">
        <v>95</v>
      </c>
      <c r="P12" t="s">
        <v>95</v>
      </c>
      <c r="Q12" t="s">
        <v>95</v>
      </c>
      <c r="R12" t="s">
        <v>95</v>
      </c>
      <c r="S12" t="s">
        <v>95</v>
      </c>
      <c r="T12" t="s">
        <v>95</v>
      </c>
      <c r="U12" t="s">
        <v>95</v>
      </c>
      <c r="V12" t="s">
        <v>95</v>
      </c>
      <c r="W12" t="s">
        <v>95</v>
      </c>
      <c r="X12">
        <v>-0.16</v>
      </c>
      <c r="Y12" t="s">
        <v>202</v>
      </c>
      <c r="AC12" t="s">
        <v>214</v>
      </c>
      <c r="AD12" t="s">
        <v>61</v>
      </c>
      <c r="AE12" t="s">
        <v>67</v>
      </c>
      <c r="AF12" t="s">
        <v>181</v>
      </c>
      <c r="AG12" t="s">
        <v>177</v>
      </c>
      <c r="AH12" t="s">
        <v>42</v>
      </c>
      <c r="AI12" t="s">
        <v>218</v>
      </c>
      <c r="AJ12" t="s">
        <v>215</v>
      </c>
      <c r="AK12" t="s">
        <v>110</v>
      </c>
      <c r="AL12" t="s">
        <v>216</v>
      </c>
      <c r="AM12" t="s">
        <v>95</v>
      </c>
      <c r="AN12" t="s">
        <v>38</v>
      </c>
      <c r="AO12" t="s">
        <v>178</v>
      </c>
      <c r="AP12" t="s">
        <v>190</v>
      </c>
    </row>
    <row r="13" spans="1:42" x14ac:dyDescent="0.2">
      <c r="A13">
        <v>5</v>
      </c>
      <c r="B13">
        <v>2003</v>
      </c>
      <c r="C13" t="s">
        <v>22</v>
      </c>
      <c r="D13" t="s">
        <v>15</v>
      </c>
      <c r="E13" t="s">
        <v>25</v>
      </c>
      <c r="F13">
        <v>285.22676000000001</v>
      </c>
      <c r="G13">
        <v>269.80176</v>
      </c>
      <c r="H13">
        <v>6</v>
      </c>
      <c r="I13" t="s">
        <v>182</v>
      </c>
      <c r="J13" t="s">
        <v>179</v>
      </c>
      <c r="K13" t="s">
        <v>180</v>
      </c>
      <c r="L13" t="s">
        <v>95</v>
      </c>
      <c r="M13" t="s">
        <v>95</v>
      </c>
      <c r="N13" t="s">
        <v>95</v>
      </c>
      <c r="O13" t="s">
        <v>95</v>
      </c>
      <c r="P13" t="s">
        <v>95</v>
      </c>
      <c r="Q13" t="s">
        <v>95</v>
      </c>
      <c r="R13" t="s">
        <v>95</v>
      </c>
      <c r="S13" t="s">
        <v>95</v>
      </c>
      <c r="T13" t="s">
        <v>95</v>
      </c>
      <c r="U13" t="s">
        <v>95</v>
      </c>
      <c r="V13" t="s">
        <v>95</v>
      </c>
      <c r="W13" t="s">
        <v>95</v>
      </c>
      <c r="X13">
        <v>-0.51</v>
      </c>
      <c r="Y13" t="s">
        <v>203</v>
      </c>
      <c r="AC13" t="s">
        <v>214</v>
      </c>
      <c r="AD13" t="s">
        <v>61</v>
      </c>
      <c r="AE13" t="s">
        <v>67</v>
      </c>
      <c r="AF13" t="s">
        <v>63</v>
      </c>
      <c r="AG13" t="s">
        <v>177</v>
      </c>
      <c r="AH13" t="s">
        <v>42</v>
      </c>
      <c r="AI13" t="s">
        <v>218</v>
      </c>
      <c r="AJ13" t="s">
        <v>215</v>
      </c>
      <c r="AK13" t="s">
        <v>110</v>
      </c>
      <c r="AL13" t="s">
        <v>216</v>
      </c>
      <c r="AM13" t="s">
        <v>95</v>
      </c>
      <c r="AN13" t="s">
        <v>38</v>
      </c>
      <c r="AO13" t="s">
        <v>178</v>
      </c>
      <c r="AP13" t="s">
        <v>191</v>
      </c>
    </row>
    <row r="14" spans="1:42" x14ac:dyDescent="0.2">
      <c r="A14">
        <v>5</v>
      </c>
      <c r="B14">
        <v>2003</v>
      </c>
      <c r="C14" t="s">
        <v>22</v>
      </c>
      <c r="D14" t="s">
        <v>15</v>
      </c>
      <c r="E14" t="s">
        <v>25</v>
      </c>
      <c r="F14">
        <v>281.99079999999998</v>
      </c>
      <c r="G14">
        <v>266.74079999999998</v>
      </c>
      <c r="H14">
        <v>6</v>
      </c>
      <c r="I14" t="s">
        <v>182</v>
      </c>
      <c r="J14" t="s">
        <v>179</v>
      </c>
      <c r="K14" t="s">
        <v>180</v>
      </c>
      <c r="L14" t="s">
        <v>95</v>
      </c>
      <c r="M14" t="s">
        <v>95</v>
      </c>
      <c r="N14" t="s">
        <v>95</v>
      </c>
      <c r="O14" t="s">
        <v>95</v>
      </c>
      <c r="P14" t="s">
        <v>95</v>
      </c>
      <c r="Q14" t="s">
        <v>95</v>
      </c>
      <c r="R14" t="s">
        <v>95</v>
      </c>
      <c r="S14" t="s">
        <v>95</v>
      </c>
      <c r="T14" t="s">
        <v>95</v>
      </c>
      <c r="U14" t="s">
        <v>95</v>
      </c>
      <c r="V14" t="s">
        <v>95</v>
      </c>
      <c r="W14" t="s">
        <v>95</v>
      </c>
      <c r="X14">
        <v>-0.71</v>
      </c>
      <c r="Y14" t="s">
        <v>204</v>
      </c>
      <c r="AC14" t="s">
        <v>214</v>
      </c>
      <c r="AD14" t="s">
        <v>61</v>
      </c>
      <c r="AE14" t="s">
        <v>67</v>
      </c>
      <c r="AF14" t="s">
        <v>63</v>
      </c>
      <c r="AG14" t="s">
        <v>177</v>
      </c>
      <c r="AH14" t="s">
        <v>42</v>
      </c>
      <c r="AI14" t="s">
        <v>218</v>
      </c>
      <c r="AJ14" t="s">
        <v>215</v>
      </c>
      <c r="AK14" t="s">
        <v>110</v>
      </c>
      <c r="AL14" t="s">
        <v>216</v>
      </c>
      <c r="AM14" t="s">
        <v>95</v>
      </c>
      <c r="AN14" t="s">
        <v>38</v>
      </c>
      <c r="AO14" t="s">
        <v>178</v>
      </c>
      <c r="AP14" t="s">
        <v>192</v>
      </c>
    </row>
    <row r="15" spans="1:42" x14ac:dyDescent="0.2">
      <c r="A15">
        <v>5</v>
      </c>
      <c r="B15">
        <v>2003</v>
      </c>
      <c r="C15" t="s">
        <v>22</v>
      </c>
      <c r="D15" t="s">
        <v>15</v>
      </c>
      <c r="E15" t="s">
        <v>25</v>
      </c>
      <c r="F15">
        <v>213.92007000000001</v>
      </c>
      <c r="G15">
        <v>202.35131999999999</v>
      </c>
      <c r="H15">
        <v>3</v>
      </c>
      <c r="I15" t="s">
        <v>182</v>
      </c>
      <c r="J15" t="s">
        <v>179</v>
      </c>
      <c r="K15" t="s">
        <v>180</v>
      </c>
      <c r="L15" t="s">
        <v>95</v>
      </c>
      <c r="M15" t="s">
        <v>95</v>
      </c>
      <c r="N15" t="s">
        <v>95</v>
      </c>
      <c r="O15" t="s">
        <v>95</v>
      </c>
      <c r="P15" t="s">
        <v>95</v>
      </c>
      <c r="Q15" t="s">
        <v>95</v>
      </c>
      <c r="R15" t="s">
        <v>95</v>
      </c>
      <c r="S15" t="s">
        <v>95</v>
      </c>
      <c r="T15" t="s">
        <v>95</v>
      </c>
      <c r="U15" t="s">
        <v>95</v>
      </c>
      <c r="V15" t="s">
        <v>95</v>
      </c>
      <c r="W15" t="s">
        <v>95</v>
      </c>
      <c r="X15">
        <v>-0.05</v>
      </c>
      <c r="Y15" t="s">
        <v>205</v>
      </c>
      <c r="AC15" t="s">
        <v>214</v>
      </c>
      <c r="AD15" t="s">
        <v>61</v>
      </c>
      <c r="AE15" t="s">
        <v>67</v>
      </c>
      <c r="AF15" t="s">
        <v>181</v>
      </c>
      <c r="AG15" t="s">
        <v>177</v>
      </c>
      <c r="AH15" t="s">
        <v>42</v>
      </c>
      <c r="AI15" t="s">
        <v>218</v>
      </c>
      <c r="AJ15" t="s">
        <v>215</v>
      </c>
      <c r="AK15" t="s">
        <v>110</v>
      </c>
      <c r="AL15" t="s">
        <v>216</v>
      </c>
      <c r="AM15" t="s">
        <v>95</v>
      </c>
      <c r="AN15" t="s">
        <v>38</v>
      </c>
      <c r="AO15" t="s">
        <v>178</v>
      </c>
      <c r="AP15" t="s">
        <v>190</v>
      </c>
    </row>
    <row r="16" spans="1:42" x14ac:dyDescent="0.2">
      <c r="A16">
        <v>5</v>
      </c>
      <c r="B16">
        <v>2003</v>
      </c>
      <c r="C16" t="s">
        <v>22</v>
      </c>
      <c r="D16" t="s">
        <v>15</v>
      </c>
      <c r="E16" t="s">
        <v>25</v>
      </c>
      <c r="F16">
        <v>213.92007000000001</v>
      </c>
      <c r="G16">
        <v>202.35131999999999</v>
      </c>
      <c r="H16">
        <v>6</v>
      </c>
      <c r="I16" t="s">
        <v>182</v>
      </c>
      <c r="J16" t="s">
        <v>179</v>
      </c>
      <c r="K16" t="s">
        <v>180</v>
      </c>
      <c r="L16" t="s">
        <v>95</v>
      </c>
      <c r="M16" t="s">
        <v>95</v>
      </c>
      <c r="N16" t="s">
        <v>95</v>
      </c>
      <c r="O16" t="s">
        <v>95</v>
      </c>
      <c r="P16" t="s">
        <v>95</v>
      </c>
      <c r="Q16" t="s">
        <v>95</v>
      </c>
      <c r="R16" t="s">
        <v>95</v>
      </c>
      <c r="S16" t="s">
        <v>95</v>
      </c>
      <c r="T16" t="s">
        <v>95</v>
      </c>
      <c r="U16" t="s">
        <v>95</v>
      </c>
      <c r="V16" t="s">
        <v>95</v>
      </c>
      <c r="W16" t="s">
        <v>95</v>
      </c>
      <c r="X16">
        <v>-0.9</v>
      </c>
      <c r="Y16" t="s">
        <v>206</v>
      </c>
      <c r="AC16" t="s">
        <v>214</v>
      </c>
      <c r="AD16" t="s">
        <v>61</v>
      </c>
      <c r="AE16" t="s">
        <v>67</v>
      </c>
      <c r="AF16" t="s">
        <v>63</v>
      </c>
      <c r="AG16" t="s">
        <v>177</v>
      </c>
      <c r="AH16" t="s">
        <v>42</v>
      </c>
      <c r="AI16" t="s">
        <v>218</v>
      </c>
      <c r="AJ16" t="s">
        <v>215</v>
      </c>
      <c r="AK16" t="s">
        <v>110</v>
      </c>
      <c r="AL16" t="s">
        <v>216</v>
      </c>
      <c r="AM16" t="s">
        <v>95</v>
      </c>
      <c r="AN16" t="s">
        <v>38</v>
      </c>
      <c r="AO16" t="s">
        <v>178</v>
      </c>
      <c r="AP16" t="s">
        <v>191</v>
      </c>
    </row>
    <row r="17" spans="1:42" x14ac:dyDescent="0.2">
      <c r="A17">
        <v>5</v>
      </c>
      <c r="B17">
        <v>2003</v>
      </c>
      <c r="C17" t="s">
        <v>22</v>
      </c>
      <c r="D17" t="s">
        <v>15</v>
      </c>
      <c r="E17" t="s">
        <v>25</v>
      </c>
      <c r="F17">
        <v>211.49309999999997</v>
      </c>
      <c r="G17">
        <v>200.05559999999997</v>
      </c>
      <c r="H17">
        <v>6</v>
      </c>
      <c r="I17" t="s">
        <v>182</v>
      </c>
      <c r="J17" t="s">
        <v>179</v>
      </c>
      <c r="K17" t="s">
        <v>180</v>
      </c>
      <c r="L17" t="s">
        <v>95</v>
      </c>
      <c r="M17" t="s">
        <v>95</v>
      </c>
      <c r="N17" t="s">
        <v>95</v>
      </c>
      <c r="O17" t="s">
        <v>95</v>
      </c>
      <c r="P17" t="s">
        <v>95</v>
      </c>
      <c r="Q17" t="s">
        <v>95</v>
      </c>
      <c r="R17" t="s">
        <v>95</v>
      </c>
      <c r="S17" t="s">
        <v>95</v>
      </c>
      <c r="T17" t="s">
        <v>95</v>
      </c>
      <c r="U17" t="s">
        <v>95</v>
      </c>
      <c r="V17" t="s">
        <v>95</v>
      </c>
      <c r="W17" t="s">
        <v>95</v>
      </c>
      <c r="X17">
        <v>-1.1599999999999999</v>
      </c>
      <c r="Y17" t="s">
        <v>207</v>
      </c>
      <c r="AC17" t="s">
        <v>214</v>
      </c>
      <c r="AD17" t="s">
        <v>61</v>
      </c>
      <c r="AE17" t="s">
        <v>67</v>
      </c>
      <c r="AF17" t="s">
        <v>63</v>
      </c>
      <c r="AG17" t="s">
        <v>177</v>
      </c>
      <c r="AH17" t="s">
        <v>42</v>
      </c>
      <c r="AI17" t="s">
        <v>218</v>
      </c>
      <c r="AJ17" t="s">
        <v>215</v>
      </c>
      <c r="AK17" t="s">
        <v>110</v>
      </c>
      <c r="AL17" t="s">
        <v>216</v>
      </c>
      <c r="AM17" t="s">
        <v>95</v>
      </c>
      <c r="AN17" t="s">
        <v>38</v>
      </c>
      <c r="AO17" t="s">
        <v>178</v>
      </c>
      <c r="AP17" t="s">
        <v>192</v>
      </c>
    </row>
    <row r="18" spans="1:42" x14ac:dyDescent="0.2">
      <c r="A18">
        <v>5</v>
      </c>
      <c r="B18">
        <v>2003</v>
      </c>
      <c r="C18" t="s">
        <v>22</v>
      </c>
      <c r="D18" t="s">
        <v>15</v>
      </c>
      <c r="E18" t="s">
        <v>25</v>
      </c>
      <c r="F18" t="s">
        <v>95</v>
      </c>
      <c r="G18" t="s">
        <v>95</v>
      </c>
      <c r="H18">
        <v>3</v>
      </c>
      <c r="I18" t="s">
        <v>182</v>
      </c>
      <c r="J18" t="s">
        <v>179</v>
      </c>
      <c r="K18" t="s">
        <v>180</v>
      </c>
      <c r="L18" t="s">
        <v>95</v>
      </c>
      <c r="M18" t="s">
        <v>95</v>
      </c>
      <c r="N18" t="s">
        <v>95</v>
      </c>
      <c r="O18" t="s">
        <v>95</v>
      </c>
      <c r="P18" t="s">
        <v>95</v>
      </c>
      <c r="Q18" t="s">
        <v>95</v>
      </c>
      <c r="R18" t="s">
        <v>95</v>
      </c>
      <c r="S18" t="s">
        <v>95</v>
      </c>
      <c r="T18" t="s">
        <v>95</v>
      </c>
      <c r="U18" t="s">
        <v>95</v>
      </c>
      <c r="V18" t="s">
        <v>95</v>
      </c>
      <c r="W18" t="s">
        <v>95</v>
      </c>
      <c r="X18">
        <v>-0.19</v>
      </c>
      <c r="Y18" t="s">
        <v>208</v>
      </c>
      <c r="AC18" t="s">
        <v>214</v>
      </c>
      <c r="AD18" t="s">
        <v>61</v>
      </c>
      <c r="AE18" t="s">
        <v>67</v>
      </c>
      <c r="AF18" t="s">
        <v>181</v>
      </c>
      <c r="AG18" t="s">
        <v>177</v>
      </c>
      <c r="AH18" t="s">
        <v>42</v>
      </c>
      <c r="AI18" t="s">
        <v>218</v>
      </c>
      <c r="AJ18" t="s">
        <v>215</v>
      </c>
      <c r="AK18" t="s">
        <v>110</v>
      </c>
      <c r="AL18" t="s">
        <v>216</v>
      </c>
      <c r="AM18" t="s">
        <v>95</v>
      </c>
      <c r="AN18" t="s">
        <v>38</v>
      </c>
      <c r="AO18" t="s">
        <v>178</v>
      </c>
      <c r="AP18" t="s">
        <v>193</v>
      </c>
    </row>
    <row r="19" spans="1:42" x14ac:dyDescent="0.2">
      <c r="A19">
        <v>5</v>
      </c>
      <c r="B19">
        <v>2003</v>
      </c>
      <c r="C19" t="s">
        <v>22</v>
      </c>
      <c r="D19" t="s">
        <v>15</v>
      </c>
      <c r="E19" t="s">
        <v>25</v>
      </c>
      <c r="F19" t="s">
        <v>95</v>
      </c>
      <c r="G19" t="s">
        <v>95</v>
      </c>
      <c r="H19">
        <v>6</v>
      </c>
      <c r="I19" t="s">
        <v>182</v>
      </c>
      <c r="J19" t="s">
        <v>179</v>
      </c>
      <c r="K19" t="s">
        <v>180</v>
      </c>
      <c r="L19" t="s">
        <v>95</v>
      </c>
      <c r="M19" t="s">
        <v>95</v>
      </c>
      <c r="N19" t="s">
        <v>95</v>
      </c>
      <c r="O19" t="s">
        <v>95</v>
      </c>
      <c r="P19" t="s">
        <v>95</v>
      </c>
      <c r="Q19" t="s">
        <v>95</v>
      </c>
      <c r="R19" t="s">
        <v>95</v>
      </c>
      <c r="S19" t="s">
        <v>95</v>
      </c>
      <c r="T19" t="s">
        <v>95</v>
      </c>
      <c r="U19" t="s">
        <v>95</v>
      </c>
      <c r="V19" t="s">
        <v>95</v>
      </c>
      <c r="W19" t="s">
        <v>95</v>
      </c>
      <c r="X19">
        <v>-1.18</v>
      </c>
      <c r="Y19" t="s">
        <v>209</v>
      </c>
      <c r="AC19" t="s">
        <v>214</v>
      </c>
      <c r="AD19" t="s">
        <v>61</v>
      </c>
      <c r="AE19" t="s">
        <v>67</v>
      </c>
      <c r="AF19" t="s">
        <v>63</v>
      </c>
      <c r="AG19" t="s">
        <v>177</v>
      </c>
      <c r="AH19" t="s">
        <v>42</v>
      </c>
      <c r="AI19" t="s">
        <v>218</v>
      </c>
      <c r="AJ19" t="s">
        <v>215</v>
      </c>
      <c r="AK19" t="s">
        <v>110</v>
      </c>
      <c r="AL19" t="s">
        <v>216</v>
      </c>
      <c r="AM19" t="s">
        <v>95</v>
      </c>
      <c r="AN19" t="s">
        <v>38</v>
      </c>
      <c r="AO19" t="s">
        <v>178</v>
      </c>
      <c r="AP19" t="s">
        <v>194</v>
      </c>
    </row>
    <row r="20" spans="1:42" x14ac:dyDescent="0.2">
      <c r="A20">
        <v>5</v>
      </c>
      <c r="B20">
        <v>2003</v>
      </c>
      <c r="C20" t="s">
        <v>22</v>
      </c>
      <c r="D20" t="s">
        <v>15</v>
      </c>
      <c r="E20" t="s">
        <v>25</v>
      </c>
      <c r="F20" t="s">
        <v>95</v>
      </c>
      <c r="G20" t="s">
        <v>95</v>
      </c>
      <c r="H20">
        <v>6</v>
      </c>
      <c r="I20" t="s">
        <v>182</v>
      </c>
      <c r="J20" t="s">
        <v>179</v>
      </c>
      <c r="K20" t="s">
        <v>180</v>
      </c>
      <c r="L20" t="s">
        <v>95</v>
      </c>
      <c r="M20" t="s">
        <v>95</v>
      </c>
      <c r="N20" t="s">
        <v>95</v>
      </c>
      <c r="O20" t="s">
        <v>95</v>
      </c>
      <c r="P20" t="s">
        <v>95</v>
      </c>
      <c r="Q20" t="s">
        <v>95</v>
      </c>
      <c r="R20" t="s">
        <v>95</v>
      </c>
      <c r="S20" t="s">
        <v>95</v>
      </c>
      <c r="T20" t="s">
        <v>95</v>
      </c>
      <c r="U20" t="s">
        <v>95</v>
      </c>
      <c r="V20" t="s">
        <v>95</v>
      </c>
      <c r="W20" t="s">
        <v>95</v>
      </c>
      <c r="X20">
        <v>-1.46</v>
      </c>
      <c r="Y20" t="s">
        <v>210</v>
      </c>
      <c r="AC20" t="s">
        <v>214</v>
      </c>
      <c r="AD20" t="s">
        <v>61</v>
      </c>
      <c r="AE20" t="s">
        <v>67</v>
      </c>
      <c r="AF20" t="s">
        <v>63</v>
      </c>
      <c r="AG20" t="s">
        <v>177</v>
      </c>
      <c r="AH20" t="s">
        <v>42</v>
      </c>
      <c r="AI20" t="s">
        <v>218</v>
      </c>
      <c r="AJ20" t="s">
        <v>215</v>
      </c>
      <c r="AK20" t="s">
        <v>110</v>
      </c>
      <c r="AL20" t="s">
        <v>216</v>
      </c>
      <c r="AM20" t="s">
        <v>95</v>
      </c>
      <c r="AN20" t="s">
        <v>38</v>
      </c>
      <c r="AO20" t="s">
        <v>178</v>
      </c>
      <c r="AP20" t="s">
        <v>195</v>
      </c>
    </row>
    <row r="21" spans="1:42" x14ac:dyDescent="0.2">
      <c r="A21">
        <v>5</v>
      </c>
      <c r="B21">
        <v>2003</v>
      </c>
      <c r="C21" t="s">
        <v>22</v>
      </c>
      <c r="D21" t="s">
        <v>15</v>
      </c>
      <c r="E21" t="s">
        <v>25</v>
      </c>
      <c r="F21" t="s">
        <v>95</v>
      </c>
      <c r="G21" t="s">
        <v>95</v>
      </c>
      <c r="H21">
        <v>3</v>
      </c>
      <c r="I21" t="s">
        <v>182</v>
      </c>
      <c r="J21" t="s">
        <v>179</v>
      </c>
      <c r="K21" t="s">
        <v>180</v>
      </c>
      <c r="L21" t="s">
        <v>95</v>
      </c>
      <c r="M21" t="s">
        <v>95</v>
      </c>
      <c r="N21" t="s">
        <v>95</v>
      </c>
      <c r="O21" t="s">
        <v>95</v>
      </c>
      <c r="P21" t="s">
        <v>95</v>
      </c>
      <c r="Q21" t="s">
        <v>95</v>
      </c>
      <c r="R21" t="s">
        <v>95</v>
      </c>
      <c r="S21" t="s">
        <v>95</v>
      </c>
      <c r="T21" t="s">
        <v>95</v>
      </c>
      <c r="U21" t="s">
        <v>95</v>
      </c>
      <c r="V21" t="s">
        <v>95</v>
      </c>
      <c r="W21" t="s">
        <v>95</v>
      </c>
      <c r="X21">
        <v>-0.22</v>
      </c>
      <c r="Y21" t="s">
        <v>211</v>
      </c>
      <c r="AC21" t="s">
        <v>214</v>
      </c>
      <c r="AD21" t="s">
        <v>61</v>
      </c>
      <c r="AE21" t="s">
        <v>67</v>
      </c>
      <c r="AF21" t="s">
        <v>181</v>
      </c>
      <c r="AG21" t="s">
        <v>177</v>
      </c>
      <c r="AH21" t="s">
        <v>42</v>
      </c>
      <c r="AI21" t="s">
        <v>218</v>
      </c>
      <c r="AJ21" t="s">
        <v>215</v>
      </c>
      <c r="AK21" t="s">
        <v>110</v>
      </c>
      <c r="AL21" t="s">
        <v>216</v>
      </c>
      <c r="AM21" t="s">
        <v>95</v>
      </c>
      <c r="AN21" t="s">
        <v>38</v>
      </c>
      <c r="AO21" t="s">
        <v>178</v>
      </c>
      <c r="AP21" t="s">
        <v>196</v>
      </c>
    </row>
    <row r="22" spans="1:42" x14ac:dyDescent="0.2">
      <c r="A22">
        <v>5</v>
      </c>
      <c r="B22">
        <v>2003</v>
      </c>
      <c r="C22" t="s">
        <v>22</v>
      </c>
      <c r="D22" t="s">
        <v>15</v>
      </c>
      <c r="E22" t="s">
        <v>25</v>
      </c>
      <c r="F22" t="s">
        <v>95</v>
      </c>
      <c r="G22" t="s">
        <v>95</v>
      </c>
      <c r="H22">
        <v>6</v>
      </c>
      <c r="I22" t="s">
        <v>182</v>
      </c>
      <c r="J22" t="s">
        <v>179</v>
      </c>
      <c r="K22" t="s">
        <v>180</v>
      </c>
      <c r="L22" t="s">
        <v>95</v>
      </c>
      <c r="M22" t="s">
        <v>95</v>
      </c>
      <c r="N22" t="s">
        <v>95</v>
      </c>
      <c r="O22" t="s">
        <v>95</v>
      </c>
      <c r="P22" t="s">
        <v>95</v>
      </c>
      <c r="Q22" t="s">
        <v>95</v>
      </c>
      <c r="R22" t="s">
        <v>95</v>
      </c>
      <c r="S22" t="s">
        <v>95</v>
      </c>
      <c r="T22" t="s">
        <v>95</v>
      </c>
      <c r="U22" t="s">
        <v>95</v>
      </c>
      <c r="V22" t="s">
        <v>95</v>
      </c>
      <c r="W22" t="s">
        <v>95</v>
      </c>
      <c r="X22">
        <v>-1.53</v>
      </c>
      <c r="Y22" t="s">
        <v>212</v>
      </c>
      <c r="AC22" t="s">
        <v>214</v>
      </c>
      <c r="AD22" t="s">
        <v>61</v>
      </c>
      <c r="AE22" t="s">
        <v>67</v>
      </c>
      <c r="AF22" t="s">
        <v>63</v>
      </c>
      <c r="AG22" t="s">
        <v>177</v>
      </c>
      <c r="AH22" t="s">
        <v>42</v>
      </c>
      <c r="AI22" t="s">
        <v>218</v>
      </c>
      <c r="AJ22" t="s">
        <v>215</v>
      </c>
      <c r="AK22" t="s">
        <v>110</v>
      </c>
      <c r="AL22" t="s">
        <v>216</v>
      </c>
      <c r="AM22" t="s">
        <v>95</v>
      </c>
      <c r="AN22" t="s">
        <v>38</v>
      </c>
      <c r="AO22" t="s">
        <v>178</v>
      </c>
      <c r="AP22" t="s">
        <v>197</v>
      </c>
    </row>
    <row r="23" spans="1:42" x14ac:dyDescent="0.2">
      <c r="A23">
        <v>5</v>
      </c>
      <c r="B23">
        <v>2003</v>
      </c>
      <c r="C23" t="s">
        <v>22</v>
      </c>
      <c r="D23" t="s">
        <v>15</v>
      </c>
      <c r="E23" t="s">
        <v>25</v>
      </c>
      <c r="F23" t="s">
        <v>95</v>
      </c>
      <c r="G23" t="s">
        <v>95</v>
      </c>
      <c r="H23">
        <v>6</v>
      </c>
      <c r="I23" t="s">
        <v>182</v>
      </c>
      <c r="J23" t="s">
        <v>179</v>
      </c>
      <c r="K23" t="s">
        <v>180</v>
      </c>
      <c r="L23" t="s">
        <v>95</v>
      </c>
      <c r="M23" t="s">
        <v>95</v>
      </c>
      <c r="N23" t="s">
        <v>95</v>
      </c>
      <c r="O23" t="s">
        <v>95</v>
      </c>
      <c r="P23" t="s">
        <v>95</v>
      </c>
      <c r="Q23" t="s">
        <v>95</v>
      </c>
      <c r="R23" t="s">
        <v>95</v>
      </c>
      <c r="S23" t="s">
        <v>95</v>
      </c>
      <c r="T23" t="s">
        <v>95</v>
      </c>
      <c r="U23" t="s">
        <v>95</v>
      </c>
      <c r="V23" t="s">
        <v>95</v>
      </c>
      <c r="W23" t="s">
        <v>95</v>
      </c>
      <c r="X23">
        <v>-0.186</v>
      </c>
      <c r="Y23" t="s">
        <v>213</v>
      </c>
      <c r="AC23" t="s">
        <v>214</v>
      </c>
      <c r="AD23" t="s">
        <v>61</v>
      </c>
      <c r="AE23" t="s">
        <v>67</v>
      </c>
      <c r="AF23" t="s">
        <v>63</v>
      </c>
      <c r="AG23" t="s">
        <v>177</v>
      </c>
      <c r="AH23" t="s">
        <v>42</v>
      </c>
      <c r="AI23" t="s">
        <v>218</v>
      </c>
      <c r="AJ23" t="s">
        <v>215</v>
      </c>
      <c r="AK23" t="s">
        <v>110</v>
      </c>
      <c r="AL23" t="s">
        <v>216</v>
      </c>
      <c r="AM23" t="s">
        <v>95</v>
      </c>
      <c r="AN23" t="s">
        <v>38</v>
      </c>
      <c r="AO23" t="s">
        <v>178</v>
      </c>
      <c r="AP23" t="s">
        <v>198</v>
      </c>
    </row>
    <row r="24" spans="1:42" x14ac:dyDescent="0.2">
      <c r="A24">
        <v>6</v>
      </c>
      <c r="B24">
        <v>2009</v>
      </c>
      <c r="C24" t="s">
        <v>23</v>
      </c>
      <c r="D24" t="s">
        <v>15</v>
      </c>
      <c r="E24" t="s">
        <v>25</v>
      </c>
      <c r="F24">
        <v>274</v>
      </c>
      <c r="G24">
        <v>283</v>
      </c>
      <c r="H24" t="s">
        <v>64</v>
      </c>
      <c r="I24" t="s">
        <v>35</v>
      </c>
      <c r="J24" t="s">
        <v>38</v>
      </c>
      <c r="K24" t="s">
        <v>180</v>
      </c>
      <c r="L24">
        <v>3.8</v>
      </c>
      <c r="M24">
        <v>2</v>
      </c>
      <c r="N24">
        <v>4.0999999999999996</v>
      </c>
      <c r="O24">
        <v>2</v>
      </c>
      <c r="T24">
        <v>3.8</v>
      </c>
      <c r="U24">
        <v>2</v>
      </c>
      <c r="V24">
        <v>4.5</v>
      </c>
      <c r="W24">
        <v>1.9</v>
      </c>
      <c r="X24">
        <v>-0.40000000000000036</v>
      </c>
      <c r="Y24">
        <v>0.16525573545304376</v>
      </c>
      <c r="Z24">
        <v>1.581951885674001E-2</v>
      </c>
      <c r="AC24" t="s">
        <v>214</v>
      </c>
      <c r="AD24" t="s">
        <v>219</v>
      </c>
      <c r="AE24" t="s">
        <v>67</v>
      </c>
      <c r="AF24" t="s">
        <v>64</v>
      </c>
      <c r="AG24" t="s">
        <v>53</v>
      </c>
      <c r="AH24" t="s">
        <v>42</v>
      </c>
      <c r="AI24" t="s">
        <v>217</v>
      </c>
      <c r="AJ24" t="s">
        <v>267</v>
      </c>
      <c r="AK24" t="s">
        <v>110</v>
      </c>
      <c r="AL24" t="s">
        <v>269</v>
      </c>
      <c r="AM24" t="s">
        <v>270</v>
      </c>
      <c r="AN24" t="s">
        <v>38</v>
      </c>
      <c r="AP24" t="s">
        <v>223</v>
      </c>
    </row>
    <row r="25" spans="1:42" x14ac:dyDescent="0.2">
      <c r="A25">
        <v>6</v>
      </c>
      <c r="B25">
        <v>2009</v>
      </c>
      <c r="C25" t="s">
        <v>23</v>
      </c>
      <c r="D25" t="s">
        <v>15</v>
      </c>
      <c r="E25" t="s">
        <v>25</v>
      </c>
      <c r="F25">
        <v>274</v>
      </c>
      <c r="G25">
        <v>283</v>
      </c>
      <c r="H25" t="s">
        <v>220</v>
      </c>
      <c r="I25" t="s">
        <v>35</v>
      </c>
      <c r="J25" t="s">
        <v>38</v>
      </c>
      <c r="K25" t="s">
        <v>180</v>
      </c>
      <c r="L25" t="s">
        <v>95</v>
      </c>
      <c r="M25" t="s">
        <v>95</v>
      </c>
      <c r="N25" t="s">
        <v>95</v>
      </c>
      <c r="O25" t="s">
        <v>95</v>
      </c>
      <c r="P25" t="s">
        <v>95</v>
      </c>
      <c r="Q25" t="s">
        <v>95</v>
      </c>
      <c r="R25" t="s">
        <v>95</v>
      </c>
      <c r="S25" t="s">
        <v>95</v>
      </c>
      <c r="T25" t="s">
        <v>95</v>
      </c>
      <c r="U25" t="s">
        <v>95</v>
      </c>
      <c r="V25" t="s">
        <v>95</v>
      </c>
      <c r="W25" t="s">
        <v>95</v>
      </c>
      <c r="X25" t="s">
        <v>256</v>
      </c>
      <c r="Y25" t="s">
        <v>259</v>
      </c>
      <c r="Z25" t="s">
        <v>260</v>
      </c>
      <c r="AC25" t="s">
        <v>214</v>
      </c>
      <c r="AD25" t="s">
        <v>61</v>
      </c>
      <c r="AE25" t="s">
        <v>67</v>
      </c>
      <c r="AF25" t="s">
        <v>220</v>
      </c>
      <c r="AG25" t="s">
        <v>53</v>
      </c>
      <c r="AH25" t="s">
        <v>42</v>
      </c>
      <c r="AI25" t="s">
        <v>217</v>
      </c>
      <c r="AJ25" t="s">
        <v>268</v>
      </c>
      <c r="AK25" t="s">
        <v>110</v>
      </c>
      <c r="AL25" t="s">
        <v>269</v>
      </c>
      <c r="AM25" t="s">
        <v>270</v>
      </c>
      <c r="AN25" t="s">
        <v>38</v>
      </c>
      <c r="AP25" t="s">
        <v>224</v>
      </c>
    </row>
    <row r="26" spans="1:42" x14ac:dyDescent="0.2">
      <c r="A26">
        <v>6</v>
      </c>
      <c r="B26">
        <v>2009</v>
      </c>
      <c r="C26" t="s">
        <v>23</v>
      </c>
      <c r="D26" t="s">
        <v>15</v>
      </c>
      <c r="E26" t="s">
        <v>25</v>
      </c>
      <c r="F26">
        <v>274</v>
      </c>
      <c r="G26">
        <v>283</v>
      </c>
      <c r="H26" t="s">
        <v>221</v>
      </c>
      <c r="I26" t="s">
        <v>35</v>
      </c>
      <c r="J26" t="s">
        <v>38</v>
      </c>
      <c r="K26" t="s">
        <v>180</v>
      </c>
      <c r="L26" t="s">
        <v>95</v>
      </c>
      <c r="M26" t="s">
        <v>95</v>
      </c>
      <c r="N26" t="s">
        <v>95</v>
      </c>
      <c r="O26" t="s">
        <v>95</v>
      </c>
      <c r="P26" t="s">
        <v>95</v>
      </c>
      <c r="Q26" t="s">
        <v>95</v>
      </c>
      <c r="R26" t="s">
        <v>95</v>
      </c>
      <c r="S26" t="s">
        <v>95</v>
      </c>
      <c r="T26" t="s">
        <v>95</v>
      </c>
      <c r="U26" t="s">
        <v>95</v>
      </c>
      <c r="V26" t="s">
        <v>95</v>
      </c>
      <c r="W26" t="s">
        <v>95</v>
      </c>
      <c r="X26" t="s">
        <v>250</v>
      </c>
      <c r="Y26" t="s">
        <v>259</v>
      </c>
      <c r="Z26">
        <v>1E-3</v>
      </c>
      <c r="AC26" t="s">
        <v>214</v>
      </c>
      <c r="AD26" t="s">
        <v>61</v>
      </c>
      <c r="AE26" t="s">
        <v>67</v>
      </c>
      <c r="AF26" t="s">
        <v>221</v>
      </c>
      <c r="AG26" t="s">
        <v>53</v>
      </c>
      <c r="AH26" t="s">
        <v>42</v>
      </c>
      <c r="AI26" t="s">
        <v>217</v>
      </c>
      <c r="AJ26" t="s">
        <v>268</v>
      </c>
      <c r="AK26" t="s">
        <v>110</v>
      </c>
      <c r="AL26" t="s">
        <v>269</v>
      </c>
      <c r="AM26" t="s">
        <v>270</v>
      </c>
      <c r="AN26" t="s">
        <v>38</v>
      </c>
      <c r="AP26" t="s">
        <v>225</v>
      </c>
    </row>
    <row r="27" spans="1:42" x14ac:dyDescent="0.2">
      <c r="A27">
        <v>6</v>
      </c>
      <c r="B27">
        <v>2009</v>
      </c>
      <c r="C27" t="s">
        <v>23</v>
      </c>
      <c r="D27" t="s">
        <v>15</v>
      </c>
      <c r="E27" t="s">
        <v>25</v>
      </c>
      <c r="F27">
        <v>274</v>
      </c>
      <c r="G27">
        <v>283</v>
      </c>
      <c r="H27" t="s">
        <v>222</v>
      </c>
      <c r="I27" t="s">
        <v>35</v>
      </c>
      <c r="J27" t="s">
        <v>38</v>
      </c>
      <c r="K27" t="s">
        <v>180</v>
      </c>
      <c r="L27" t="s">
        <v>95</v>
      </c>
      <c r="M27" t="s">
        <v>95</v>
      </c>
      <c r="N27" t="s">
        <v>95</v>
      </c>
      <c r="O27" t="s">
        <v>95</v>
      </c>
      <c r="P27" t="s">
        <v>95</v>
      </c>
      <c r="Q27" t="s">
        <v>95</v>
      </c>
      <c r="R27" t="s">
        <v>95</v>
      </c>
      <c r="S27" t="s">
        <v>95</v>
      </c>
      <c r="T27" t="s">
        <v>95</v>
      </c>
      <c r="U27" t="s">
        <v>95</v>
      </c>
      <c r="V27" t="s">
        <v>95</v>
      </c>
      <c r="W27" t="s">
        <v>95</v>
      </c>
      <c r="X27" t="s">
        <v>249</v>
      </c>
      <c r="Y27" t="s">
        <v>259</v>
      </c>
      <c r="Z27">
        <v>0.107</v>
      </c>
      <c r="AC27" t="s">
        <v>214</v>
      </c>
      <c r="AD27" t="s">
        <v>61</v>
      </c>
      <c r="AE27" t="s">
        <v>67</v>
      </c>
      <c r="AF27" t="s">
        <v>222</v>
      </c>
      <c r="AG27" t="s">
        <v>53</v>
      </c>
      <c r="AH27" t="s">
        <v>42</v>
      </c>
      <c r="AI27" t="s">
        <v>217</v>
      </c>
      <c r="AJ27" t="s">
        <v>268</v>
      </c>
      <c r="AK27" t="s">
        <v>110</v>
      </c>
      <c r="AL27" t="s">
        <v>269</v>
      </c>
      <c r="AM27" t="s">
        <v>270</v>
      </c>
      <c r="AN27" t="s">
        <v>38</v>
      </c>
      <c r="AP27" t="s">
        <v>226</v>
      </c>
    </row>
    <row r="28" spans="1:42" x14ac:dyDescent="0.2">
      <c r="A28">
        <v>6</v>
      </c>
      <c r="B28">
        <v>2009</v>
      </c>
      <c r="C28" t="s">
        <v>23</v>
      </c>
      <c r="D28" t="s">
        <v>15</v>
      </c>
      <c r="E28" t="s">
        <v>25</v>
      </c>
      <c r="F28">
        <v>40.337522441651707</v>
      </c>
      <c r="G28">
        <v>41.662477558348293</v>
      </c>
      <c r="H28" t="s">
        <v>220</v>
      </c>
      <c r="I28" t="s">
        <v>35</v>
      </c>
      <c r="J28" t="s">
        <v>38</v>
      </c>
      <c r="K28" t="s">
        <v>180</v>
      </c>
      <c r="L28" t="s">
        <v>95</v>
      </c>
      <c r="M28" t="s">
        <v>95</v>
      </c>
      <c r="N28" t="s">
        <v>95</v>
      </c>
      <c r="O28" t="s">
        <v>95</v>
      </c>
      <c r="P28" t="s">
        <v>95</v>
      </c>
      <c r="Q28" t="s">
        <v>95</v>
      </c>
      <c r="R28" t="s">
        <v>95</v>
      </c>
      <c r="S28" t="s">
        <v>95</v>
      </c>
      <c r="T28" t="s">
        <v>95</v>
      </c>
      <c r="U28" t="s">
        <v>95</v>
      </c>
      <c r="V28" t="s">
        <v>95</v>
      </c>
      <c r="W28" t="s">
        <v>95</v>
      </c>
      <c r="X28" t="s">
        <v>245</v>
      </c>
      <c r="Y28" t="s">
        <v>259</v>
      </c>
      <c r="Z28">
        <v>0.115</v>
      </c>
      <c r="AC28" t="s">
        <v>214</v>
      </c>
      <c r="AD28" t="s">
        <v>61</v>
      </c>
      <c r="AE28" t="s">
        <v>67</v>
      </c>
      <c r="AF28" t="s">
        <v>220</v>
      </c>
      <c r="AG28" t="s">
        <v>53</v>
      </c>
      <c r="AH28" t="s">
        <v>42</v>
      </c>
      <c r="AI28" t="s">
        <v>217</v>
      </c>
      <c r="AJ28" t="s">
        <v>268</v>
      </c>
      <c r="AK28" t="s">
        <v>110</v>
      </c>
      <c r="AL28" t="s">
        <v>269</v>
      </c>
      <c r="AM28" t="s">
        <v>270</v>
      </c>
      <c r="AN28" t="s">
        <v>38</v>
      </c>
      <c r="AP28" t="s">
        <v>227</v>
      </c>
    </row>
    <row r="29" spans="1:42" x14ac:dyDescent="0.2">
      <c r="A29">
        <v>6</v>
      </c>
      <c r="B29">
        <v>2009</v>
      </c>
      <c r="C29" t="s">
        <v>23</v>
      </c>
      <c r="D29" t="s">
        <v>15</v>
      </c>
      <c r="E29" t="s">
        <v>25</v>
      </c>
      <c r="F29">
        <v>40.337522441651707</v>
      </c>
      <c r="G29">
        <v>41.662477558348293</v>
      </c>
      <c r="H29" t="s">
        <v>221</v>
      </c>
      <c r="I29" t="s">
        <v>35</v>
      </c>
      <c r="J29" t="s">
        <v>38</v>
      </c>
      <c r="K29" t="s">
        <v>180</v>
      </c>
      <c r="L29" t="s">
        <v>95</v>
      </c>
      <c r="M29" t="s">
        <v>95</v>
      </c>
      <c r="N29" t="s">
        <v>95</v>
      </c>
      <c r="O29" t="s">
        <v>95</v>
      </c>
      <c r="P29" t="s">
        <v>95</v>
      </c>
      <c r="Q29" t="s">
        <v>95</v>
      </c>
      <c r="R29" t="s">
        <v>95</v>
      </c>
      <c r="S29" t="s">
        <v>95</v>
      </c>
      <c r="T29" t="s">
        <v>95</v>
      </c>
      <c r="U29" t="s">
        <v>95</v>
      </c>
      <c r="V29" t="s">
        <v>95</v>
      </c>
      <c r="W29" t="s">
        <v>95</v>
      </c>
      <c r="X29" t="s">
        <v>257</v>
      </c>
      <c r="Y29" t="s">
        <v>259</v>
      </c>
      <c r="Z29">
        <v>2.4E-2</v>
      </c>
      <c r="AC29" t="s">
        <v>214</v>
      </c>
      <c r="AD29" t="s">
        <v>61</v>
      </c>
      <c r="AE29" t="s">
        <v>67</v>
      </c>
      <c r="AF29" t="s">
        <v>221</v>
      </c>
      <c r="AG29" t="s">
        <v>53</v>
      </c>
      <c r="AH29" t="s">
        <v>42</v>
      </c>
      <c r="AI29" t="s">
        <v>217</v>
      </c>
      <c r="AJ29" t="s">
        <v>268</v>
      </c>
      <c r="AK29" t="s">
        <v>110</v>
      </c>
      <c r="AL29" t="s">
        <v>269</v>
      </c>
      <c r="AM29" t="s">
        <v>270</v>
      </c>
      <c r="AN29" t="s">
        <v>38</v>
      </c>
      <c r="AP29" t="s">
        <v>228</v>
      </c>
    </row>
    <row r="30" spans="1:42" x14ac:dyDescent="0.2">
      <c r="A30">
        <v>6</v>
      </c>
      <c r="B30">
        <v>2009</v>
      </c>
      <c r="C30" t="s">
        <v>23</v>
      </c>
      <c r="D30" t="s">
        <v>15</v>
      </c>
      <c r="E30" t="s">
        <v>25</v>
      </c>
      <c r="F30">
        <v>40.337522441651707</v>
      </c>
      <c r="G30">
        <v>41.662477558348293</v>
      </c>
      <c r="H30" t="s">
        <v>222</v>
      </c>
      <c r="I30" t="s">
        <v>35</v>
      </c>
      <c r="J30" t="s">
        <v>38</v>
      </c>
      <c r="K30" t="s">
        <v>180</v>
      </c>
      <c r="L30" t="s">
        <v>95</v>
      </c>
      <c r="M30" t="s">
        <v>95</v>
      </c>
      <c r="N30" t="s">
        <v>95</v>
      </c>
      <c r="O30" t="s">
        <v>95</v>
      </c>
      <c r="P30" t="s">
        <v>95</v>
      </c>
      <c r="Q30" t="s">
        <v>95</v>
      </c>
      <c r="R30" t="s">
        <v>95</v>
      </c>
      <c r="S30" t="s">
        <v>95</v>
      </c>
      <c r="T30" t="s">
        <v>95</v>
      </c>
      <c r="U30" t="s">
        <v>95</v>
      </c>
      <c r="V30" t="s">
        <v>95</v>
      </c>
      <c r="W30" t="s">
        <v>95</v>
      </c>
      <c r="X30" t="s">
        <v>246</v>
      </c>
      <c r="Y30" t="s">
        <v>259</v>
      </c>
      <c r="Z30">
        <v>0.497</v>
      </c>
      <c r="AC30" t="s">
        <v>214</v>
      </c>
      <c r="AD30" t="s">
        <v>61</v>
      </c>
      <c r="AE30" t="s">
        <v>67</v>
      </c>
      <c r="AF30" t="s">
        <v>222</v>
      </c>
      <c r="AG30" t="s">
        <v>53</v>
      </c>
      <c r="AH30" t="s">
        <v>42</v>
      </c>
      <c r="AI30" t="s">
        <v>217</v>
      </c>
      <c r="AJ30" t="s">
        <v>268</v>
      </c>
      <c r="AK30" t="s">
        <v>110</v>
      </c>
      <c r="AL30" t="s">
        <v>269</v>
      </c>
      <c r="AM30" t="s">
        <v>270</v>
      </c>
      <c r="AN30" t="s">
        <v>38</v>
      </c>
      <c r="AP30" t="s">
        <v>229</v>
      </c>
    </row>
    <row r="31" spans="1:42" x14ac:dyDescent="0.2">
      <c r="A31">
        <v>6</v>
      </c>
      <c r="B31">
        <v>2009</v>
      </c>
      <c r="C31" t="s">
        <v>23</v>
      </c>
      <c r="D31" t="s">
        <v>15</v>
      </c>
      <c r="E31" t="s">
        <v>25</v>
      </c>
      <c r="F31">
        <v>224.80789946140035</v>
      </c>
      <c r="G31">
        <v>232.19210053859965</v>
      </c>
      <c r="H31" t="s">
        <v>220</v>
      </c>
      <c r="I31" t="s">
        <v>35</v>
      </c>
      <c r="J31" t="s">
        <v>38</v>
      </c>
      <c r="K31" t="s">
        <v>180</v>
      </c>
      <c r="L31" t="s">
        <v>95</v>
      </c>
      <c r="M31" t="s">
        <v>95</v>
      </c>
      <c r="N31" t="s">
        <v>95</v>
      </c>
      <c r="O31" t="s">
        <v>95</v>
      </c>
      <c r="P31" t="s">
        <v>95</v>
      </c>
      <c r="Q31" t="s">
        <v>95</v>
      </c>
      <c r="R31" t="s">
        <v>95</v>
      </c>
      <c r="S31" t="s">
        <v>95</v>
      </c>
      <c r="T31" t="s">
        <v>95</v>
      </c>
      <c r="U31" t="s">
        <v>95</v>
      </c>
      <c r="V31" t="s">
        <v>95</v>
      </c>
      <c r="W31" t="s">
        <v>95</v>
      </c>
      <c r="X31" t="s">
        <v>247</v>
      </c>
      <c r="Y31" t="s">
        <v>259</v>
      </c>
      <c r="Z31">
        <v>1E-3</v>
      </c>
      <c r="AC31" t="s">
        <v>214</v>
      </c>
      <c r="AD31" t="s">
        <v>61</v>
      </c>
      <c r="AE31" t="s">
        <v>67</v>
      </c>
      <c r="AF31" t="s">
        <v>220</v>
      </c>
      <c r="AG31" t="s">
        <v>53</v>
      </c>
      <c r="AH31" t="s">
        <v>42</v>
      </c>
      <c r="AI31" t="s">
        <v>217</v>
      </c>
      <c r="AJ31" t="s">
        <v>268</v>
      </c>
      <c r="AK31" t="s">
        <v>110</v>
      </c>
      <c r="AL31" t="s">
        <v>269</v>
      </c>
      <c r="AM31" t="s">
        <v>270</v>
      </c>
      <c r="AN31" t="s">
        <v>38</v>
      </c>
      <c r="AP31" t="s">
        <v>230</v>
      </c>
    </row>
    <row r="32" spans="1:42" x14ac:dyDescent="0.2">
      <c r="A32">
        <v>6</v>
      </c>
      <c r="B32">
        <v>2009</v>
      </c>
      <c r="C32" t="s">
        <v>23</v>
      </c>
      <c r="D32" t="s">
        <v>15</v>
      </c>
      <c r="E32" t="s">
        <v>25</v>
      </c>
      <c r="F32">
        <v>224.80789946140035</v>
      </c>
      <c r="G32">
        <v>232.19210053859965</v>
      </c>
      <c r="H32" t="s">
        <v>221</v>
      </c>
      <c r="I32" t="s">
        <v>35</v>
      </c>
      <c r="J32" t="s">
        <v>38</v>
      </c>
      <c r="K32" t="s">
        <v>180</v>
      </c>
      <c r="L32" t="s">
        <v>95</v>
      </c>
      <c r="M32" t="s">
        <v>95</v>
      </c>
      <c r="N32" t="s">
        <v>95</v>
      </c>
      <c r="O32" t="s">
        <v>95</v>
      </c>
      <c r="P32" t="s">
        <v>95</v>
      </c>
      <c r="Q32" t="s">
        <v>95</v>
      </c>
      <c r="R32" t="s">
        <v>95</v>
      </c>
      <c r="S32" t="s">
        <v>95</v>
      </c>
      <c r="T32" t="s">
        <v>95</v>
      </c>
      <c r="U32" t="s">
        <v>95</v>
      </c>
      <c r="V32" t="s">
        <v>95</v>
      </c>
      <c r="W32" t="s">
        <v>95</v>
      </c>
      <c r="X32" t="s">
        <v>248</v>
      </c>
      <c r="Y32" t="s">
        <v>259</v>
      </c>
      <c r="Z32">
        <v>1E-3</v>
      </c>
      <c r="AC32" t="s">
        <v>214</v>
      </c>
      <c r="AD32" t="s">
        <v>61</v>
      </c>
      <c r="AE32" t="s">
        <v>67</v>
      </c>
      <c r="AF32" t="s">
        <v>221</v>
      </c>
      <c r="AG32" t="s">
        <v>53</v>
      </c>
      <c r="AH32" t="s">
        <v>42</v>
      </c>
      <c r="AI32" t="s">
        <v>217</v>
      </c>
      <c r="AJ32" t="s">
        <v>268</v>
      </c>
      <c r="AK32" t="s">
        <v>110</v>
      </c>
      <c r="AL32" t="s">
        <v>269</v>
      </c>
      <c r="AM32" t="s">
        <v>270</v>
      </c>
      <c r="AN32" t="s">
        <v>38</v>
      </c>
      <c r="AP32" t="s">
        <v>231</v>
      </c>
    </row>
    <row r="33" spans="1:42" x14ac:dyDescent="0.2">
      <c r="A33">
        <v>6</v>
      </c>
      <c r="B33">
        <v>2009</v>
      </c>
      <c r="C33" t="s">
        <v>23</v>
      </c>
      <c r="D33" t="s">
        <v>15</v>
      </c>
      <c r="E33" t="s">
        <v>25</v>
      </c>
      <c r="F33">
        <v>224.80789946140035</v>
      </c>
      <c r="G33">
        <v>232.19210053859965</v>
      </c>
      <c r="H33" t="s">
        <v>222</v>
      </c>
      <c r="I33" t="s">
        <v>35</v>
      </c>
      <c r="J33" t="s">
        <v>38</v>
      </c>
      <c r="K33" t="s">
        <v>180</v>
      </c>
      <c r="L33" t="s">
        <v>95</v>
      </c>
      <c r="M33" t="s">
        <v>95</v>
      </c>
      <c r="N33" t="s">
        <v>95</v>
      </c>
      <c r="O33" t="s">
        <v>95</v>
      </c>
      <c r="P33" t="s">
        <v>95</v>
      </c>
      <c r="Q33" t="s">
        <v>95</v>
      </c>
      <c r="R33" t="s">
        <v>95</v>
      </c>
      <c r="S33" t="s">
        <v>95</v>
      </c>
      <c r="T33" t="s">
        <v>95</v>
      </c>
      <c r="U33" t="s">
        <v>95</v>
      </c>
      <c r="V33" t="s">
        <v>95</v>
      </c>
      <c r="W33" t="s">
        <v>95</v>
      </c>
      <c r="X33" t="s">
        <v>251</v>
      </c>
      <c r="Y33" t="s">
        <v>259</v>
      </c>
      <c r="Z33">
        <v>3.7000000000000002E-3</v>
      </c>
      <c r="AC33" t="s">
        <v>214</v>
      </c>
      <c r="AD33" t="s">
        <v>61</v>
      </c>
      <c r="AE33" t="s">
        <v>67</v>
      </c>
      <c r="AF33" t="s">
        <v>222</v>
      </c>
      <c r="AG33" t="s">
        <v>53</v>
      </c>
      <c r="AH33" t="s">
        <v>42</v>
      </c>
      <c r="AI33" t="s">
        <v>217</v>
      </c>
      <c r="AJ33" t="s">
        <v>268</v>
      </c>
      <c r="AK33" t="s">
        <v>110</v>
      </c>
      <c r="AL33" t="s">
        <v>269</v>
      </c>
      <c r="AM33" t="s">
        <v>270</v>
      </c>
      <c r="AN33" t="s">
        <v>38</v>
      </c>
      <c r="AP33" t="s">
        <v>232</v>
      </c>
    </row>
    <row r="34" spans="1:42" x14ac:dyDescent="0.2">
      <c r="A34">
        <v>6</v>
      </c>
      <c r="B34">
        <v>2009</v>
      </c>
      <c r="C34" t="s">
        <v>23</v>
      </c>
      <c r="D34" t="s">
        <v>15</v>
      </c>
      <c r="E34" t="s">
        <v>25</v>
      </c>
      <c r="F34">
        <v>175.61579892280071</v>
      </c>
      <c r="G34">
        <v>181.38420107719929</v>
      </c>
      <c r="H34" t="s">
        <v>220</v>
      </c>
      <c r="I34" t="s">
        <v>35</v>
      </c>
      <c r="J34" t="s">
        <v>38</v>
      </c>
      <c r="K34" t="s">
        <v>180</v>
      </c>
      <c r="L34" t="s">
        <v>95</v>
      </c>
      <c r="M34" t="s">
        <v>95</v>
      </c>
      <c r="N34" t="s">
        <v>95</v>
      </c>
      <c r="O34" t="s">
        <v>95</v>
      </c>
      <c r="P34" t="s">
        <v>95</v>
      </c>
      <c r="Q34" t="s">
        <v>95</v>
      </c>
      <c r="R34" t="s">
        <v>95</v>
      </c>
      <c r="S34" t="s">
        <v>95</v>
      </c>
      <c r="T34" t="s">
        <v>95</v>
      </c>
      <c r="U34" t="s">
        <v>95</v>
      </c>
      <c r="V34" t="s">
        <v>95</v>
      </c>
      <c r="W34" t="s">
        <v>95</v>
      </c>
      <c r="X34" t="s">
        <v>252</v>
      </c>
      <c r="Y34" t="s">
        <v>259</v>
      </c>
      <c r="Z34">
        <v>1E-3</v>
      </c>
      <c r="AC34" t="s">
        <v>214</v>
      </c>
      <c r="AD34" t="s">
        <v>61</v>
      </c>
      <c r="AE34" t="s">
        <v>67</v>
      </c>
      <c r="AF34" t="s">
        <v>220</v>
      </c>
      <c r="AG34" t="s">
        <v>53</v>
      </c>
      <c r="AH34" t="s">
        <v>42</v>
      </c>
      <c r="AI34" t="s">
        <v>217</v>
      </c>
      <c r="AJ34" t="s">
        <v>268</v>
      </c>
      <c r="AK34" t="s">
        <v>110</v>
      </c>
      <c r="AL34" t="s">
        <v>269</v>
      </c>
      <c r="AM34" t="s">
        <v>270</v>
      </c>
      <c r="AN34" t="s">
        <v>38</v>
      </c>
      <c r="AP34" t="s">
        <v>233</v>
      </c>
    </row>
    <row r="35" spans="1:42" x14ac:dyDescent="0.2">
      <c r="A35">
        <v>6</v>
      </c>
      <c r="B35">
        <v>2009</v>
      </c>
      <c r="C35" t="s">
        <v>23</v>
      </c>
      <c r="D35" t="s">
        <v>15</v>
      </c>
      <c r="E35" t="s">
        <v>25</v>
      </c>
      <c r="F35">
        <v>175.61579892280071</v>
      </c>
      <c r="G35">
        <v>181.38420107719929</v>
      </c>
      <c r="H35" t="s">
        <v>221</v>
      </c>
      <c r="I35" t="s">
        <v>35</v>
      </c>
      <c r="J35" t="s">
        <v>38</v>
      </c>
      <c r="K35" t="s">
        <v>180</v>
      </c>
      <c r="L35" t="s">
        <v>95</v>
      </c>
      <c r="M35" t="s">
        <v>95</v>
      </c>
      <c r="N35" t="s">
        <v>95</v>
      </c>
      <c r="O35" t="s">
        <v>95</v>
      </c>
      <c r="P35" t="s">
        <v>95</v>
      </c>
      <c r="Q35" t="s">
        <v>95</v>
      </c>
      <c r="R35" t="s">
        <v>95</v>
      </c>
      <c r="S35" t="s">
        <v>95</v>
      </c>
      <c r="T35" t="s">
        <v>95</v>
      </c>
      <c r="U35" t="s">
        <v>95</v>
      </c>
      <c r="V35" t="s">
        <v>95</v>
      </c>
      <c r="W35" t="s">
        <v>95</v>
      </c>
      <c r="X35" t="s">
        <v>253</v>
      </c>
      <c r="Y35" t="s">
        <v>259</v>
      </c>
      <c r="Z35">
        <v>1E-3</v>
      </c>
      <c r="AC35" t="s">
        <v>214</v>
      </c>
      <c r="AD35" t="s">
        <v>61</v>
      </c>
      <c r="AE35" t="s">
        <v>67</v>
      </c>
      <c r="AF35" t="s">
        <v>221</v>
      </c>
      <c r="AG35" t="s">
        <v>53</v>
      </c>
      <c r="AH35" t="s">
        <v>42</v>
      </c>
      <c r="AI35" t="s">
        <v>217</v>
      </c>
      <c r="AJ35" t="s">
        <v>268</v>
      </c>
      <c r="AK35" t="s">
        <v>110</v>
      </c>
      <c r="AL35" t="s">
        <v>269</v>
      </c>
      <c r="AM35" t="s">
        <v>270</v>
      </c>
      <c r="AN35" t="s">
        <v>38</v>
      </c>
      <c r="AP35" t="s">
        <v>234</v>
      </c>
    </row>
    <row r="36" spans="1:42" x14ac:dyDescent="0.2">
      <c r="A36">
        <v>6</v>
      </c>
      <c r="B36">
        <v>2009</v>
      </c>
      <c r="C36" t="s">
        <v>23</v>
      </c>
      <c r="D36" t="s">
        <v>15</v>
      </c>
      <c r="E36" t="s">
        <v>25</v>
      </c>
      <c r="F36">
        <v>175.61579892280071</v>
      </c>
      <c r="G36">
        <v>181.38420107719929</v>
      </c>
      <c r="H36" t="s">
        <v>222</v>
      </c>
      <c r="I36" t="s">
        <v>35</v>
      </c>
      <c r="J36" t="s">
        <v>38</v>
      </c>
      <c r="K36" t="s">
        <v>180</v>
      </c>
      <c r="L36" t="s">
        <v>95</v>
      </c>
      <c r="M36" t="s">
        <v>95</v>
      </c>
      <c r="N36" t="s">
        <v>95</v>
      </c>
      <c r="O36" t="s">
        <v>95</v>
      </c>
      <c r="P36" t="s">
        <v>95</v>
      </c>
      <c r="Q36" t="s">
        <v>95</v>
      </c>
      <c r="R36" t="s">
        <v>95</v>
      </c>
      <c r="S36" t="s">
        <v>95</v>
      </c>
      <c r="T36" t="s">
        <v>95</v>
      </c>
      <c r="U36" t="s">
        <v>95</v>
      </c>
      <c r="V36" t="s">
        <v>95</v>
      </c>
      <c r="W36" t="s">
        <v>95</v>
      </c>
      <c r="X36" t="s">
        <v>254</v>
      </c>
      <c r="Y36" t="s">
        <v>259</v>
      </c>
      <c r="Z36">
        <v>5.3999999999999999E-2</v>
      </c>
      <c r="AC36" t="s">
        <v>214</v>
      </c>
      <c r="AD36" t="s">
        <v>61</v>
      </c>
      <c r="AE36" t="s">
        <v>67</v>
      </c>
      <c r="AF36" t="s">
        <v>222</v>
      </c>
      <c r="AG36" t="s">
        <v>53</v>
      </c>
      <c r="AH36" t="s">
        <v>42</v>
      </c>
      <c r="AI36" t="s">
        <v>217</v>
      </c>
      <c r="AJ36" t="s">
        <v>268</v>
      </c>
      <c r="AK36" t="s">
        <v>110</v>
      </c>
      <c r="AL36" t="s">
        <v>269</v>
      </c>
      <c r="AM36" t="s">
        <v>270</v>
      </c>
      <c r="AN36" t="s">
        <v>38</v>
      </c>
      <c r="AP36" t="s">
        <v>235</v>
      </c>
    </row>
    <row r="37" spans="1:42" x14ac:dyDescent="0.2">
      <c r="A37">
        <v>6</v>
      </c>
      <c r="B37">
        <v>2009</v>
      </c>
      <c r="C37" t="s">
        <v>23</v>
      </c>
      <c r="D37" t="s">
        <v>15</v>
      </c>
      <c r="E37" t="s">
        <v>25</v>
      </c>
      <c r="F37">
        <v>118.55296229802514</v>
      </c>
      <c r="G37">
        <v>122.44703770197486</v>
      </c>
      <c r="H37" t="s">
        <v>220</v>
      </c>
      <c r="I37" t="s">
        <v>35</v>
      </c>
      <c r="J37" t="s">
        <v>38</v>
      </c>
      <c r="K37" t="s">
        <v>180</v>
      </c>
      <c r="L37" t="s">
        <v>95</v>
      </c>
      <c r="M37" t="s">
        <v>95</v>
      </c>
      <c r="N37" t="s">
        <v>95</v>
      </c>
      <c r="O37" t="s">
        <v>95</v>
      </c>
      <c r="P37" t="s">
        <v>95</v>
      </c>
      <c r="Q37" t="s">
        <v>95</v>
      </c>
      <c r="R37" t="s">
        <v>95</v>
      </c>
      <c r="S37" t="s">
        <v>95</v>
      </c>
      <c r="T37" t="s">
        <v>95</v>
      </c>
      <c r="U37" t="s">
        <v>95</v>
      </c>
      <c r="V37" t="s">
        <v>95</v>
      </c>
      <c r="W37" t="s">
        <v>95</v>
      </c>
      <c r="X37" t="s">
        <v>253</v>
      </c>
      <c r="Y37" t="s">
        <v>259</v>
      </c>
      <c r="Z37">
        <v>1E-3</v>
      </c>
      <c r="AC37" t="s">
        <v>214</v>
      </c>
      <c r="AD37" t="s">
        <v>61</v>
      </c>
      <c r="AE37" t="s">
        <v>67</v>
      </c>
      <c r="AF37" t="s">
        <v>220</v>
      </c>
      <c r="AG37" t="s">
        <v>53</v>
      </c>
      <c r="AH37" t="s">
        <v>42</v>
      </c>
      <c r="AI37" t="s">
        <v>217</v>
      </c>
      <c r="AJ37" t="s">
        <v>268</v>
      </c>
      <c r="AK37" t="s">
        <v>110</v>
      </c>
      <c r="AL37" t="s">
        <v>269</v>
      </c>
      <c r="AM37" t="s">
        <v>270</v>
      </c>
      <c r="AN37" t="s">
        <v>38</v>
      </c>
      <c r="AP37" t="s">
        <v>236</v>
      </c>
    </row>
    <row r="38" spans="1:42" x14ac:dyDescent="0.2">
      <c r="A38">
        <v>6</v>
      </c>
      <c r="B38">
        <v>2009</v>
      </c>
      <c r="C38" t="s">
        <v>23</v>
      </c>
      <c r="D38" t="s">
        <v>15</v>
      </c>
      <c r="E38" t="s">
        <v>25</v>
      </c>
      <c r="F38">
        <v>118.55296229802514</v>
      </c>
      <c r="G38">
        <v>122.44703770197486</v>
      </c>
      <c r="H38" t="s">
        <v>221</v>
      </c>
      <c r="I38" t="s">
        <v>35</v>
      </c>
      <c r="J38" t="s">
        <v>38</v>
      </c>
      <c r="K38" t="s">
        <v>180</v>
      </c>
      <c r="L38" t="s">
        <v>95</v>
      </c>
      <c r="M38" t="s">
        <v>95</v>
      </c>
      <c r="N38" t="s">
        <v>95</v>
      </c>
      <c r="O38" t="s">
        <v>95</v>
      </c>
      <c r="P38" t="s">
        <v>95</v>
      </c>
      <c r="Q38" t="s">
        <v>95</v>
      </c>
      <c r="R38" t="s">
        <v>95</v>
      </c>
      <c r="S38" t="s">
        <v>95</v>
      </c>
      <c r="T38" t="s">
        <v>95</v>
      </c>
      <c r="U38" t="s">
        <v>95</v>
      </c>
      <c r="V38" t="s">
        <v>95</v>
      </c>
      <c r="W38" t="s">
        <v>95</v>
      </c>
      <c r="X38" t="s">
        <v>258</v>
      </c>
      <c r="Y38" t="s">
        <v>259</v>
      </c>
      <c r="Z38">
        <v>1E-3</v>
      </c>
      <c r="AC38" t="s">
        <v>214</v>
      </c>
      <c r="AD38" t="s">
        <v>61</v>
      </c>
      <c r="AE38" t="s">
        <v>67</v>
      </c>
      <c r="AF38" t="s">
        <v>221</v>
      </c>
      <c r="AG38" t="s">
        <v>53</v>
      </c>
      <c r="AH38" t="s">
        <v>42</v>
      </c>
      <c r="AI38" t="s">
        <v>217</v>
      </c>
      <c r="AJ38" t="s">
        <v>268</v>
      </c>
      <c r="AK38" t="s">
        <v>110</v>
      </c>
      <c r="AL38" t="s">
        <v>269</v>
      </c>
      <c r="AM38" t="s">
        <v>270</v>
      </c>
      <c r="AN38" t="s">
        <v>38</v>
      </c>
      <c r="AP38" t="s">
        <v>237</v>
      </c>
    </row>
    <row r="39" spans="1:42" x14ac:dyDescent="0.2">
      <c r="A39">
        <v>6</v>
      </c>
      <c r="B39">
        <v>2009</v>
      </c>
      <c r="C39" t="s">
        <v>23</v>
      </c>
      <c r="D39" t="s">
        <v>15</v>
      </c>
      <c r="E39" t="s">
        <v>25</v>
      </c>
      <c r="F39">
        <v>118.55296229802514</v>
      </c>
      <c r="G39">
        <v>122.44703770197486</v>
      </c>
      <c r="H39" t="s">
        <v>222</v>
      </c>
      <c r="I39" t="s">
        <v>35</v>
      </c>
      <c r="J39" t="s">
        <v>38</v>
      </c>
      <c r="K39" t="s">
        <v>180</v>
      </c>
      <c r="L39" t="s">
        <v>95</v>
      </c>
      <c r="M39" t="s">
        <v>95</v>
      </c>
      <c r="N39" t="s">
        <v>95</v>
      </c>
      <c r="O39" t="s">
        <v>95</v>
      </c>
      <c r="P39" t="s">
        <v>95</v>
      </c>
      <c r="Q39" t="s">
        <v>95</v>
      </c>
      <c r="R39" t="s">
        <v>95</v>
      </c>
      <c r="S39" t="s">
        <v>95</v>
      </c>
      <c r="T39" t="s">
        <v>95</v>
      </c>
      <c r="U39" t="s">
        <v>95</v>
      </c>
      <c r="V39" t="s">
        <v>95</v>
      </c>
      <c r="W39" t="s">
        <v>95</v>
      </c>
      <c r="X39" t="s">
        <v>255</v>
      </c>
      <c r="Y39" t="s">
        <v>259</v>
      </c>
      <c r="Z39">
        <v>4.0000000000000001E-3</v>
      </c>
      <c r="AC39" t="s">
        <v>214</v>
      </c>
      <c r="AD39" t="s">
        <v>61</v>
      </c>
      <c r="AE39" t="s">
        <v>67</v>
      </c>
      <c r="AF39" t="s">
        <v>222</v>
      </c>
      <c r="AG39" t="s">
        <v>53</v>
      </c>
      <c r="AH39" t="s">
        <v>42</v>
      </c>
      <c r="AI39" t="s">
        <v>217</v>
      </c>
      <c r="AJ39" t="s">
        <v>268</v>
      </c>
      <c r="AK39" t="s">
        <v>110</v>
      </c>
      <c r="AL39" t="s">
        <v>269</v>
      </c>
      <c r="AM39" t="s">
        <v>270</v>
      </c>
      <c r="AN39" t="s">
        <v>38</v>
      </c>
      <c r="AP39" t="s">
        <v>238</v>
      </c>
    </row>
    <row r="40" spans="1:42" x14ac:dyDescent="0.2">
      <c r="A40">
        <v>6</v>
      </c>
      <c r="B40">
        <v>2009</v>
      </c>
      <c r="C40" t="s">
        <v>23</v>
      </c>
      <c r="D40" t="s">
        <v>15</v>
      </c>
      <c r="E40" t="s">
        <v>25</v>
      </c>
      <c r="F40">
        <v>166</v>
      </c>
      <c r="G40">
        <v>183</v>
      </c>
      <c r="H40" t="s">
        <v>64</v>
      </c>
      <c r="I40" t="s">
        <v>35</v>
      </c>
      <c r="J40" t="s">
        <v>38</v>
      </c>
      <c r="K40" t="s">
        <v>180</v>
      </c>
      <c r="L40" t="s">
        <v>261</v>
      </c>
      <c r="M40" t="s">
        <v>95</v>
      </c>
      <c r="N40" t="s">
        <v>261</v>
      </c>
      <c r="O40" t="s">
        <v>95</v>
      </c>
      <c r="T40" t="s">
        <v>95</v>
      </c>
      <c r="U40" t="s">
        <v>95</v>
      </c>
      <c r="V40" t="s">
        <v>95</v>
      </c>
      <c r="W40" t="s">
        <v>95</v>
      </c>
      <c r="X40" t="s">
        <v>263</v>
      </c>
      <c r="Y40" t="s">
        <v>259</v>
      </c>
      <c r="Z40">
        <v>0.08</v>
      </c>
      <c r="AC40" t="s">
        <v>214</v>
      </c>
      <c r="AD40" t="s">
        <v>61</v>
      </c>
      <c r="AE40" t="s">
        <v>67</v>
      </c>
      <c r="AF40" t="s">
        <v>64</v>
      </c>
      <c r="AG40" t="s">
        <v>53</v>
      </c>
      <c r="AH40" t="s">
        <v>42</v>
      </c>
      <c r="AI40" t="s">
        <v>217</v>
      </c>
      <c r="AJ40" t="s">
        <v>268</v>
      </c>
      <c r="AK40" t="s">
        <v>110</v>
      </c>
      <c r="AL40" t="s">
        <v>269</v>
      </c>
      <c r="AM40" t="s">
        <v>270</v>
      </c>
      <c r="AN40" t="s">
        <v>38</v>
      </c>
      <c r="AP40" t="s">
        <v>239</v>
      </c>
    </row>
    <row r="41" spans="1:42" x14ac:dyDescent="0.2">
      <c r="A41">
        <v>6</v>
      </c>
      <c r="B41">
        <v>2009</v>
      </c>
      <c r="C41" t="s">
        <v>23</v>
      </c>
      <c r="D41" t="s">
        <v>15</v>
      </c>
      <c r="E41" t="s">
        <v>25</v>
      </c>
      <c r="F41">
        <v>108</v>
      </c>
      <c r="G41">
        <v>100</v>
      </c>
      <c r="H41" t="s">
        <v>64</v>
      </c>
      <c r="I41" t="s">
        <v>35</v>
      </c>
      <c r="J41" t="s">
        <v>38</v>
      </c>
      <c r="K41" t="s">
        <v>180</v>
      </c>
      <c r="L41" t="s">
        <v>262</v>
      </c>
      <c r="M41" t="s">
        <v>95</v>
      </c>
      <c r="N41" t="s">
        <v>262</v>
      </c>
      <c r="O41" t="s">
        <v>95</v>
      </c>
      <c r="T41" t="s">
        <v>95</v>
      </c>
      <c r="U41" t="s">
        <v>95</v>
      </c>
      <c r="V41" t="s">
        <v>95</v>
      </c>
      <c r="W41" t="s">
        <v>95</v>
      </c>
      <c r="X41" t="s">
        <v>264</v>
      </c>
      <c r="Y41" t="s">
        <v>259</v>
      </c>
      <c r="Z41">
        <v>3.0000000000000001E-3</v>
      </c>
      <c r="AC41" t="s">
        <v>214</v>
      </c>
      <c r="AD41" t="s">
        <v>61</v>
      </c>
      <c r="AE41" t="s">
        <v>67</v>
      </c>
      <c r="AF41" t="s">
        <v>64</v>
      </c>
      <c r="AG41" t="s">
        <v>53</v>
      </c>
      <c r="AH41" t="s">
        <v>42</v>
      </c>
      <c r="AI41" t="s">
        <v>217</v>
      </c>
      <c r="AJ41" t="s">
        <v>268</v>
      </c>
      <c r="AK41" t="s">
        <v>110</v>
      </c>
      <c r="AL41" t="s">
        <v>269</v>
      </c>
      <c r="AM41" t="s">
        <v>270</v>
      </c>
      <c r="AN41" t="s">
        <v>38</v>
      </c>
      <c r="AP41" t="s">
        <v>240</v>
      </c>
    </row>
    <row r="42" spans="1:42" x14ac:dyDescent="0.2">
      <c r="A42">
        <v>6</v>
      </c>
      <c r="B42">
        <v>2009</v>
      </c>
      <c r="C42" t="s">
        <v>23</v>
      </c>
      <c r="D42" t="s">
        <v>15</v>
      </c>
      <c r="E42" t="s">
        <v>25</v>
      </c>
      <c r="F42">
        <v>130</v>
      </c>
      <c r="G42">
        <v>162</v>
      </c>
      <c r="H42" t="s">
        <v>64</v>
      </c>
      <c r="I42" t="s">
        <v>35</v>
      </c>
      <c r="J42" t="s">
        <v>38</v>
      </c>
      <c r="K42" t="s">
        <v>180</v>
      </c>
      <c r="L42" t="s">
        <v>261</v>
      </c>
      <c r="M42" t="s">
        <v>95</v>
      </c>
      <c r="N42" t="s">
        <v>261</v>
      </c>
      <c r="O42" t="s">
        <v>95</v>
      </c>
      <c r="T42" t="s">
        <v>95</v>
      </c>
      <c r="U42" t="s">
        <v>95</v>
      </c>
      <c r="V42" t="s">
        <v>95</v>
      </c>
      <c r="W42" t="s">
        <v>95</v>
      </c>
      <c r="X42" t="s">
        <v>265</v>
      </c>
      <c r="Y42" t="s">
        <v>259</v>
      </c>
      <c r="Z42">
        <v>0.01</v>
      </c>
      <c r="AC42" t="s">
        <v>214</v>
      </c>
      <c r="AD42" t="s">
        <v>61</v>
      </c>
      <c r="AE42" t="s">
        <v>67</v>
      </c>
      <c r="AF42" t="s">
        <v>64</v>
      </c>
      <c r="AG42" t="s">
        <v>53</v>
      </c>
      <c r="AH42" t="s">
        <v>42</v>
      </c>
      <c r="AI42" t="s">
        <v>217</v>
      </c>
      <c r="AJ42" t="s">
        <v>268</v>
      </c>
      <c r="AK42" t="s">
        <v>110</v>
      </c>
      <c r="AL42" t="s">
        <v>269</v>
      </c>
      <c r="AM42" t="s">
        <v>270</v>
      </c>
      <c r="AN42" t="s">
        <v>38</v>
      </c>
      <c r="AP42" t="s">
        <v>241</v>
      </c>
    </row>
    <row r="43" spans="1:42" x14ac:dyDescent="0.2">
      <c r="A43">
        <v>6</v>
      </c>
      <c r="B43">
        <v>2009</v>
      </c>
      <c r="C43" t="s">
        <v>23</v>
      </c>
      <c r="D43" t="s">
        <v>15</v>
      </c>
      <c r="E43" t="s">
        <v>25</v>
      </c>
      <c r="F43">
        <v>96</v>
      </c>
      <c r="G43">
        <v>87</v>
      </c>
      <c r="H43" t="s">
        <v>64</v>
      </c>
      <c r="I43" t="s">
        <v>35</v>
      </c>
      <c r="J43" t="s">
        <v>38</v>
      </c>
      <c r="K43" t="s">
        <v>180</v>
      </c>
      <c r="L43" t="s">
        <v>262</v>
      </c>
      <c r="M43" t="s">
        <v>95</v>
      </c>
      <c r="N43" t="s">
        <v>262</v>
      </c>
      <c r="O43" t="s">
        <v>95</v>
      </c>
      <c r="T43" t="s">
        <v>95</v>
      </c>
      <c r="U43" t="s">
        <v>95</v>
      </c>
      <c r="V43" t="s">
        <v>95</v>
      </c>
      <c r="W43" t="s">
        <v>95</v>
      </c>
      <c r="X43" t="s">
        <v>264</v>
      </c>
      <c r="Y43" t="s">
        <v>259</v>
      </c>
      <c r="Z43">
        <v>4.0000000000000001E-3</v>
      </c>
      <c r="AC43" t="s">
        <v>214</v>
      </c>
      <c r="AD43" t="s">
        <v>61</v>
      </c>
      <c r="AE43" t="s">
        <v>67</v>
      </c>
      <c r="AF43" t="s">
        <v>64</v>
      </c>
      <c r="AG43" t="s">
        <v>53</v>
      </c>
      <c r="AH43" t="s">
        <v>42</v>
      </c>
      <c r="AI43" t="s">
        <v>217</v>
      </c>
      <c r="AJ43" t="s">
        <v>268</v>
      </c>
      <c r="AK43" t="s">
        <v>110</v>
      </c>
      <c r="AL43" t="s">
        <v>269</v>
      </c>
      <c r="AM43" t="s">
        <v>270</v>
      </c>
      <c r="AN43" t="s">
        <v>38</v>
      </c>
      <c r="AP43" t="s">
        <v>242</v>
      </c>
    </row>
    <row r="44" spans="1:42" x14ac:dyDescent="0.2">
      <c r="A44">
        <v>6</v>
      </c>
      <c r="B44">
        <v>2009</v>
      </c>
      <c r="C44" t="s">
        <v>23</v>
      </c>
      <c r="D44" t="s">
        <v>15</v>
      </c>
      <c r="E44" t="s">
        <v>25</v>
      </c>
      <c r="F44">
        <v>36</v>
      </c>
      <c r="G44">
        <v>21</v>
      </c>
      <c r="H44" t="s">
        <v>64</v>
      </c>
      <c r="I44" t="s">
        <v>35</v>
      </c>
      <c r="J44" t="s">
        <v>38</v>
      </c>
      <c r="K44" t="s">
        <v>180</v>
      </c>
      <c r="L44" t="s">
        <v>261</v>
      </c>
      <c r="M44" t="s">
        <v>95</v>
      </c>
      <c r="N44" t="s">
        <v>261</v>
      </c>
      <c r="O44" t="s">
        <v>95</v>
      </c>
      <c r="T44" t="s">
        <v>95</v>
      </c>
      <c r="U44" t="s">
        <v>95</v>
      </c>
      <c r="V44" t="s">
        <v>95</v>
      </c>
      <c r="W44" t="s">
        <v>95</v>
      </c>
      <c r="X44" t="s">
        <v>266</v>
      </c>
      <c r="Y44" t="s">
        <v>259</v>
      </c>
      <c r="Z44">
        <v>0.02</v>
      </c>
      <c r="AC44" t="s">
        <v>214</v>
      </c>
      <c r="AD44" t="s">
        <v>61</v>
      </c>
      <c r="AE44" t="s">
        <v>67</v>
      </c>
      <c r="AF44" t="s">
        <v>64</v>
      </c>
      <c r="AG44" t="s">
        <v>53</v>
      </c>
      <c r="AH44" t="s">
        <v>42</v>
      </c>
      <c r="AI44" t="s">
        <v>217</v>
      </c>
      <c r="AJ44" t="s">
        <v>268</v>
      </c>
      <c r="AK44" t="s">
        <v>110</v>
      </c>
      <c r="AL44" t="s">
        <v>269</v>
      </c>
      <c r="AM44" t="s">
        <v>270</v>
      </c>
      <c r="AN44" t="s">
        <v>38</v>
      </c>
      <c r="AP44" t="s">
        <v>243</v>
      </c>
    </row>
    <row r="45" spans="1:42" x14ac:dyDescent="0.2">
      <c r="A45">
        <v>6</v>
      </c>
      <c r="B45">
        <v>2009</v>
      </c>
      <c r="C45" t="s">
        <v>23</v>
      </c>
      <c r="D45" t="s">
        <v>15</v>
      </c>
      <c r="E45" t="s">
        <v>25</v>
      </c>
      <c r="F45">
        <v>12</v>
      </c>
      <c r="G45">
        <v>13</v>
      </c>
      <c r="H45" t="s">
        <v>64</v>
      </c>
      <c r="I45" t="s">
        <v>35</v>
      </c>
      <c r="J45" t="s">
        <v>38</v>
      </c>
      <c r="K45" t="s">
        <v>180</v>
      </c>
      <c r="L45" t="s">
        <v>262</v>
      </c>
      <c r="M45" t="s">
        <v>95</v>
      </c>
      <c r="N45" t="s">
        <v>262</v>
      </c>
      <c r="O45" t="s">
        <v>95</v>
      </c>
      <c r="T45" t="s">
        <v>95</v>
      </c>
      <c r="U45" t="s">
        <v>95</v>
      </c>
      <c r="V45" t="s">
        <v>95</v>
      </c>
      <c r="W45" t="s">
        <v>95</v>
      </c>
      <c r="X45" t="s">
        <v>264</v>
      </c>
      <c r="Y45" t="s">
        <v>259</v>
      </c>
      <c r="Z45">
        <v>0.49</v>
      </c>
      <c r="AC45" t="s">
        <v>214</v>
      </c>
      <c r="AD45" t="s">
        <v>61</v>
      </c>
      <c r="AE45" t="s">
        <v>67</v>
      </c>
      <c r="AF45" t="s">
        <v>64</v>
      </c>
      <c r="AH45" t="s">
        <v>42</v>
      </c>
      <c r="AI45" t="s">
        <v>217</v>
      </c>
      <c r="AJ45" t="s">
        <v>268</v>
      </c>
      <c r="AK45" t="s">
        <v>110</v>
      </c>
      <c r="AL45" t="s">
        <v>269</v>
      </c>
      <c r="AM45" t="s">
        <v>270</v>
      </c>
      <c r="AN45" t="s">
        <v>38</v>
      </c>
      <c r="AP45" t="s">
        <v>244</v>
      </c>
    </row>
    <row r="46" spans="1:42" x14ac:dyDescent="0.2">
      <c r="A46">
        <v>7</v>
      </c>
      <c r="B46">
        <v>2017</v>
      </c>
      <c r="C46" t="s">
        <v>70</v>
      </c>
      <c r="D46" t="s">
        <v>99</v>
      </c>
      <c r="E46" t="s">
        <v>71</v>
      </c>
      <c r="F46">
        <v>26</v>
      </c>
      <c r="G46">
        <v>30</v>
      </c>
      <c r="H46">
        <v>3</v>
      </c>
      <c r="I46" t="s">
        <v>38</v>
      </c>
      <c r="J46" t="s">
        <v>104</v>
      </c>
      <c r="K46" t="s">
        <v>105</v>
      </c>
      <c r="L46">
        <v>3.0529999999999999</v>
      </c>
      <c r="M46">
        <v>0.48859999999999998</v>
      </c>
      <c r="N46">
        <v>2.5379999999999998</v>
      </c>
      <c r="O46">
        <v>7.8070000000000001E-2</v>
      </c>
      <c r="T46">
        <v>0.1983</v>
      </c>
      <c r="U46">
        <v>9.4280000000000003E-2</v>
      </c>
      <c r="V46">
        <v>2.4620000000000002</v>
      </c>
      <c r="W46">
        <v>0.12690000000000001</v>
      </c>
      <c r="X46">
        <v>-2.8546999999999998</v>
      </c>
      <c r="Y46">
        <v>3.0259878200646295E-2</v>
      </c>
      <c r="Z46" t="s">
        <v>92</v>
      </c>
      <c r="AC46" t="s">
        <v>107</v>
      </c>
      <c r="AD46" t="s">
        <v>297</v>
      </c>
      <c r="AE46" t="s">
        <v>78</v>
      </c>
      <c r="AF46" t="s">
        <v>51</v>
      </c>
      <c r="AG46" t="s">
        <v>53</v>
      </c>
      <c r="AH46" t="s">
        <v>96</v>
      </c>
      <c r="AI46" t="s">
        <v>109</v>
      </c>
      <c r="AJ46" t="s">
        <v>98</v>
      </c>
      <c r="AK46" t="s">
        <v>110</v>
      </c>
      <c r="AL46" t="s">
        <v>101</v>
      </c>
      <c r="AM46">
        <v>9.7000000000000003E-2</v>
      </c>
    </row>
    <row r="47" spans="1:42" x14ac:dyDescent="0.2">
      <c r="A47">
        <v>8</v>
      </c>
      <c r="B47">
        <v>2006</v>
      </c>
      <c r="C47" t="s">
        <v>72</v>
      </c>
      <c r="D47" t="s">
        <v>15</v>
      </c>
      <c r="E47" t="s">
        <v>25</v>
      </c>
      <c r="F47">
        <v>335</v>
      </c>
      <c r="G47">
        <v>334</v>
      </c>
      <c r="H47" t="s">
        <v>274</v>
      </c>
      <c r="I47" t="s">
        <v>271</v>
      </c>
      <c r="J47" t="s">
        <v>38</v>
      </c>
      <c r="K47" t="s">
        <v>180</v>
      </c>
      <c r="L47" t="s">
        <v>276</v>
      </c>
      <c r="M47" t="s">
        <v>276</v>
      </c>
      <c r="N47" t="s">
        <v>276</v>
      </c>
      <c r="O47" t="s">
        <v>276</v>
      </c>
      <c r="P47" t="s">
        <v>276</v>
      </c>
      <c r="Q47" t="s">
        <v>276</v>
      </c>
      <c r="R47" t="s">
        <v>276</v>
      </c>
      <c r="S47" t="s">
        <v>276</v>
      </c>
      <c r="T47" t="s">
        <v>276</v>
      </c>
      <c r="U47" t="s">
        <v>276</v>
      </c>
      <c r="V47" t="s">
        <v>276</v>
      </c>
      <c r="W47" t="s">
        <v>276</v>
      </c>
      <c r="X47" t="s">
        <v>279</v>
      </c>
      <c r="Y47" t="s">
        <v>276</v>
      </c>
      <c r="Z47" t="s">
        <v>92</v>
      </c>
      <c r="AC47" t="s">
        <v>276</v>
      </c>
      <c r="AD47" t="s">
        <v>272</v>
      </c>
      <c r="AE47" t="s">
        <v>273</v>
      </c>
      <c r="AF47" t="s">
        <v>274</v>
      </c>
      <c r="AG47" t="s">
        <v>53</v>
      </c>
      <c r="AH47" t="s">
        <v>275</v>
      </c>
      <c r="AI47" t="s">
        <v>276</v>
      </c>
      <c r="AJ47" t="s">
        <v>276</v>
      </c>
      <c r="AK47" t="s">
        <v>276</v>
      </c>
      <c r="AL47" t="s">
        <v>276</v>
      </c>
      <c r="AM47" t="s">
        <v>276</v>
      </c>
      <c r="AN47" t="s">
        <v>276</v>
      </c>
    </row>
    <row r="48" spans="1:42" x14ac:dyDescent="0.2">
      <c r="A48">
        <v>8</v>
      </c>
      <c r="B48">
        <v>2006</v>
      </c>
      <c r="C48" t="s">
        <v>72</v>
      </c>
      <c r="D48" t="s">
        <v>15</v>
      </c>
      <c r="E48" t="s">
        <v>25</v>
      </c>
      <c r="F48">
        <v>335</v>
      </c>
      <c r="G48">
        <v>334</v>
      </c>
      <c r="H48" t="s">
        <v>278</v>
      </c>
      <c r="I48" t="s">
        <v>271</v>
      </c>
      <c r="J48" t="s">
        <v>38</v>
      </c>
      <c r="K48" t="s">
        <v>180</v>
      </c>
      <c r="L48" t="s">
        <v>276</v>
      </c>
      <c r="M48" t="s">
        <v>276</v>
      </c>
      <c r="N48" t="s">
        <v>276</v>
      </c>
      <c r="O48" t="s">
        <v>276</v>
      </c>
      <c r="P48" t="s">
        <v>276</v>
      </c>
      <c r="Q48" t="s">
        <v>276</v>
      </c>
      <c r="R48" t="s">
        <v>276</v>
      </c>
      <c r="S48" t="s">
        <v>276</v>
      </c>
      <c r="T48" t="s">
        <v>276</v>
      </c>
      <c r="U48" t="s">
        <v>276</v>
      </c>
      <c r="V48" t="s">
        <v>276</v>
      </c>
      <c r="W48" t="s">
        <v>276</v>
      </c>
      <c r="X48" t="s">
        <v>280</v>
      </c>
      <c r="Y48" t="s">
        <v>276</v>
      </c>
      <c r="Z48" t="s">
        <v>92</v>
      </c>
      <c r="AC48" t="s">
        <v>276</v>
      </c>
      <c r="AD48" t="s">
        <v>272</v>
      </c>
      <c r="AE48" t="s">
        <v>273</v>
      </c>
      <c r="AF48" t="s">
        <v>278</v>
      </c>
      <c r="AG48" t="s">
        <v>53</v>
      </c>
      <c r="AH48" t="s">
        <v>275</v>
      </c>
      <c r="AI48" t="s">
        <v>276</v>
      </c>
      <c r="AJ48" t="s">
        <v>276</v>
      </c>
      <c r="AK48" t="s">
        <v>276</v>
      </c>
      <c r="AL48" t="s">
        <v>276</v>
      </c>
      <c r="AM48" t="s">
        <v>276</v>
      </c>
      <c r="AN48" t="s">
        <v>276</v>
      </c>
    </row>
    <row r="49" spans="1:42" x14ac:dyDescent="0.2">
      <c r="A49">
        <v>8</v>
      </c>
      <c r="B49">
        <v>2006</v>
      </c>
      <c r="C49" t="s">
        <v>72</v>
      </c>
      <c r="D49" t="s">
        <v>15</v>
      </c>
      <c r="E49" t="s">
        <v>25</v>
      </c>
      <c r="F49">
        <v>335</v>
      </c>
      <c r="G49">
        <v>334</v>
      </c>
      <c r="H49" t="s">
        <v>277</v>
      </c>
      <c r="I49" t="s">
        <v>271</v>
      </c>
      <c r="J49" t="s">
        <v>38</v>
      </c>
      <c r="K49" t="s">
        <v>180</v>
      </c>
      <c r="L49" t="s">
        <v>276</v>
      </c>
      <c r="M49" t="s">
        <v>276</v>
      </c>
      <c r="N49" t="s">
        <v>276</v>
      </c>
      <c r="O49" t="s">
        <v>276</v>
      </c>
      <c r="P49" t="s">
        <v>276</v>
      </c>
      <c r="Q49" t="s">
        <v>276</v>
      </c>
      <c r="R49" t="s">
        <v>276</v>
      </c>
      <c r="S49" t="s">
        <v>276</v>
      </c>
      <c r="T49" t="s">
        <v>276</v>
      </c>
      <c r="U49" t="s">
        <v>276</v>
      </c>
      <c r="V49" t="s">
        <v>276</v>
      </c>
      <c r="W49" t="s">
        <v>276</v>
      </c>
      <c r="X49" t="s">
        <v>281</v>
      </c>
      <c r="Y49" t="s">
        <v>276</v>
      </c>
      <c r="Z49" t="s">
        <v>92</v>
      </c>
      <c r="AC49" t="s">
        <v>276</v>
      </c>
      <c r="AD49" t="s">
        <v>272</v>
      </c>
      <c r="AE49" t="s">
        <v>273</v>
      </c>
      <c r="AF49" t="s">
        <v>277</v>
      </c>
      <c r="AG49" t="s">
        <v>53</v>
      </c>
      <c r="AH49" t="s">
        <v>275</v>
      </c>
      <c r="AI49" t="s">
        <v>276</v>
      </c>
      <c r="AJ49" t="s">
        <v>276</v>
      </c>
      <c r="AK49" t="s">
        <v>276</v>
      </c>
      <c r="AL49" t="s">
        <v>276</v>
      </c>
      <c r="AM49" t="s">
        <v>276</v>
      </c>
      <c r="AN49" t="s">
        <v>276</v>
      </c>
    </row>
    <row r="50" spans="1:42" x14ac:dyDescent="0.2">
      <c r="A50">
        <v>9</v>
      </c>
      <c r="B50">
        <v>2020</v>
      </c>
      <c r="C50" t="s">
        <v>106</v>
      </c>
      <c r="D50" t="s">
        <v>99</v>
      </c>
      <c r="E50" t="s">
        <v>71</v>
      </c>
      <c r="F50">
        <v>25</v>
      </c>
      <c r="G50">
        <v>32</v>
      </c>
      <c r="H50">
        <v>3</v>
      </c>
      <c r="I50" t="s">
        <v>38</v>
      </c>
      <c r="J50" t="s">
        <v>79</v>
      </c>
      <c r="K50" t="s">
        <v>103</v>
      </c>
      <c r="L50" t="s">
        <v>80</v>
      </c>
      <c r="M50" t="s">
        <v>84</v>
      </c>
      <c r="N50" t="s">
        <v>83</v>
      </c>
      <c r="O50" t="s">
        <v>85</v>
      </c>
      <c r="T50">
        <v>0.01</v>
      </c>
      <c r="U50">
        <v>0</v>
      </c>
      <c r="V50">
        <v>2.02</v>
      </c>
      <c r="W50" t="s">
        <v>90</v>
      </c>
      <c r="X50">
        <v>-2.09</v>
      </c>
      <c r="Y50">
        <v>0.01</v>
      </c>
      <c r="Z50" t="s">
        <v>92</v>
      </c>
      <c r="AC50" t="s">
        <v>94</v>
      </c>
      <c r="AD50" t="s">
        <v>108</v>
      </c>
      <c r="AE50" t="s">
        <v>78</v>
      </c>
      <c r="AF50" t="s">
        <v>51</v>
      </c>
      <c r="AG50" t="s">
        <v>53</v>
      </c>
      <c r="AH50" t="s">
        <v>96</v>
      </c>
      <c r="AI50" t="s">
        <v>97</v>
      </c>
      <c r="AJ50" t="s">
        <v>98</v>
      </c>
      <c r="AK50" t="s">
        <v>100</v>
      </c>
      <c r="AL50" t="s">
        <v>101</v>
      </c>
      <c r="AM50" t="s">
        <v>102</v>
      </c>
    </row>
    <row r="51" spans="1:42" x14ac:dyDescent="0.2">
      <c r="A51">
        <v>10</v>
      </c>
      <c r="B51">
        <v>2015</v>
      </c>
      <c r="C51" t="s">
        <v>74</v>
      </c>
      <c r="D51" t="s">
        <v>15</v>
      </c>
      <c r="E51" t="s">
        <v>71</v>
      </c>
      <c r="F51">
        <v>102</v>
      </c>
      <c r="G51">
        <v>92</v>
      </c>
      <c r="H51">
        <v>3</v>
      </c>
      <c r="I51" t="s">
        <v>38</v>
      </c>
      <c r="J51" t="s">
        <v>284</v>
      </c>
      <c r="K51" t="s">
        <v>285</v>
      </c>
      <c r="L51">
        <v>14.8</v>
      </c>
      <c r="M51">
        <v>7.5</v>
      </c>
      <c r="N51">
        <v>13.7</v>
      </c>
      <c r="O51">
        <v>7.5</v>
      </c>
      <c r="T51">
        <v>8.6999999999999993</v>
      </c>
      <c r="U51">
        <v>4.5</v>
      </c>
      <c r="V51">
        <v>12.1</v>
      </c>
      <c r="W51">
        <v>6.8</v>
      </c>
      <c r="X51">
        <v>-4.5000000000000018</v>
      </c>
      <c r="Y51">
        <v>0.8206351375523151</v>
      </c>
      <c r="Z51">
        <v>1.3020338011483424E-7</v>
      </c>
      <c r="AC51" t="s">
        <v>294</v>
      </c>
      <c r="AD51" t="s">
        <v>61</v>
      </c>
      <c r="AE51" t="s">
        <v>292</v>
      </c>
      <c r="AF51" t="s">
        <v>51</v>
      </c>
      <c r="AG51" t="s">
        <v>290</v>
      </c>
      <c r="AH51" t="s">
        <v>275</v>
      </c>
      <c r="AI51" t="s">
        <v>291</v>
      </c>
      <c r="AJ51" t="s">
        <v>289</v>
      </c>
      <c r="AK51" t="s">
        <v>288</v>
      </c>
      <c r="AL51" t="s">
        <v>287</v>
      </c>
      <c r="AM51" t="s">
        <v>286</v>
      </c>
      <c r="AP51" t="s">
        <v>282</v>
      </c>
    </row>
    <row r="52" spans="1:42" x14ac:dyDescent="0.2">
      <c r="A52">
        <v>10</v>
      </c>
      <c r="B52">
        <v>2015</v>
      </c>
      <c r="C52" t="s">
        <v>74</v>
      </c>
      <c r="D52" t="s">
        <v>15</v>
      </c>
      <c r="E52" t="s">
        <v>71</v>
      </c>
      <c r="F52">
        <v>102</v>
      </c>
      <c r="G52">
        <v>103</v>
      </c>
      <c r="H52">
        <v>3</v>
      </c>
      <c r="I52" t="s">
        <v>38</v>
      </c>
      <c r="J52" t="s">
        <v>284</v>
      </c>
      <c r="K52" t="s">
        <v>285</v>
      </c>
      <c r="L52">
        <v>14.1</v>
      </c>
      <c r="M52">
        <v>8.1</v>
      </c>
      <c r="N52">
        <v>13.7</v>
      </c>
      <c r="O52">
        <v>7.5</v>
      </c>
      <c r="T52">
        <v>7.1</v>
      </c>
      <c r="U52">
        <v>2.7</v>
      </c>
      <c r="V52">
        <v>12.1</v>
      </c>
      <c r="W52">
        <v>6.8</v>
      </c>
      <c r="X52">
        <v>-5.4</v>
      </c>
      <c r="Y52">
        <v>0.7239544408058145</v>
      </c>
      <c r="Z52">
        <v>2.4924213980773988E-12</v>
      </c>
      <c r="AC52" t="s">
        <v>294</v>
      </c>
      <c r="AD52" t="s">
        <v>61</v>
      </c>
      <c r="AE52" t="s">
        <v>293</v>
      </c>
      <c r="AF52" t="s">
        <v>51</v>
      </c>
      <c r="AG52" t="s">
        <v>290</v>
      </c>
      <c r="AH52" t="s">
        <v>275</v>
      </c>
      <c r="AI52" t="s">
        <v>291</v>
      </c>
      <c r="AJ52" t="s">
        <v>289</v>
      </c>
      <c r="AK52" t="s">
        <v>288</v>
      </c>
      <c r="AL52" t="s">
        <v>287</v>
      </c>
      <c r="AM52" t="s">
        <v>286</v>
      </c>
      <c r="AP52" t="s">
        <v>283</v>
      </c>
    </row>
    <row r="53" spans="1:42" x14ac:dyDescent="0.2">
      <c r="A53">
        <v>11</v>
      </c>
      <c r="B53">
        <v>2006</v>
      </c>
      <c r="C53" t="s">
        <v>75</v>
      </c>
      <c r="D53" t="s">
        <v>15</v>
      </c>
      <c r="E53" t="s">
        <v>25</v>
      </c>
      <c r="F53">
        <v>128</v>
      </c>
      <c r="G53">
        <v>138</v>
      </c>
      <c r="H53" t="s">
        <v>304</v>
      </c>
      <c r="I53" t="s">
        <v>38</v>
      </c>
      <c r="J53" t="s">
        <v>295</v>
      </c>
      <c r="K53" t="s">
        <v>105</v>
      </c>
      <c r="L53">
        <v>11.5</v>
      </c>
      <c r="M53">
        <v>6.1</v>
      </c>
      <c r="N53" t="s">
        <v>95</v>
      </c>
      <c r="O53" t="s">
        <v>95</v>
      </c>
      <c r="P53" t="s">
        <v>95</v>
      </c>
      <c r="Q53" t="s">
        <v>95</v>
      </c>
      <c r="R53" t="s">
        <v>95</v>
      </c>
      <c r="S53" t="s">
        <v>95</v>
      </c>
      <c r="T53" t="s">
        <v>95</v>
      </c>
      <c r="U53" t="s">
        <v>95</v>
      </c>
      <c r="V53" t="s">
        <v>95</v>
      </c>
      <c r="W53" t="s">
        <v>95</v>
      </c>
      <c r="X53">
        <v>-0.3</v>
      </c>
      <c r="Y53" t="s">
        <v>306</v>
      </c>
      <c r="Z53" t="s">
        <v>311</v>
      </c>
      <c r="AC53" t="s">
        <v>300</v>
      </c>
      <c r="AD53" t="s">
        <v>307</v>
      </c>
      <c r="AE53" t="s">
        <v>308</v>
      </c>
      <c r="AF53" t="s">
        <v>16</v>
      </c>
      <c r="AG53" t="s">
        <v>298</v>
      </c>
      <c r="AH53" t="s">
        <v>275</v>
      </c>
      <c r="AI53" t="s">
        <v>109</v>
      </c>
      <c r="AJ53" t="s">
        <v>303</v>
      </c>
      <c r="AK53" t="s">
        <v>110</v>
      </c>
      <c r="AL53" t="s">
        <v>299</v>
      </c>
      <c r="AM53" t="s">
        <v>305</v>
      </c>
      <c r="AN53" t="s">
        <v>302</v>
      </c>
      <c r="AP53" t="s">
        <v>301</v>
      </c>
    </row>
    <row r="54" spans="1:42" x14ac:dyDescent="0.2">
      <c r="A54">
        <v>11</v>
      </c>
      <c r="B54">
        <v>2006</v>
      </c>
      <c r="C54" t="s">
        <v>75</v>
      </c>
      <c r="D54" t="s">
        <v>15</v>
      </c>
      <c r="E54" t="s">
        <v>25</v>
      </c>
      <c r="F54">
        <v>128</v>
      </c>
      <c r="G54">
        <v>122</v>
      </c>
      <c r="H54" t="s">
        <v>304</v>
      </c>
      <c r="I54" t="s">
        <v>38</v>
      </c>
      <c r="J54" t="s">
        <v>295</v>
      </c>
      <c r="K54" t="s">
        <v>105</v>
      </c>
      <c r="L54">
        <v>11.5</v>
      </c>
      <c r="M54">
        <v>6.1</v>
      </c>
      <c r="N54" t="s">
        <v>95</v>
      </c>
      <c r="O54" t="s">
        <v>95</v>
      </c>
      <c r="P54" t="s">
        <v>95</v>
      </c>
      <c r="Q54" t="s">
        <v>95</v>
      </c>
      <c r="R54" t="s">
        <v>95</v>
      </c>
      <c r="S54" t="s">
        <v>95</v>
      </c>
      <c r="T54" t="s">
        <v>95</v>
      </c>
      <c r="U54" t="s">
        <v>95</v>
      </c>
      <c r="V54" t="s">
        <v>95</v>
      </c>
      <c r="W54" t="s">
        <v>95</v>
      </c>
      <c r="X54">
        <v>0.1</v>
      </c>
      <c r="Y54" t="s">
        <v>309</v>
      </c>
      <c r="Z54" t="s">
        <v>310</v>
      </c>
      <c r="AC54" t="s">
        <v>300</v>
      </c>
      <c r="AD54" t="s">
        <v>296</v>
      </c>
      <c r="AE54" t="s">
        <v>55</v>
      </c>
      <c r="AF54" t="s">
        <v>16</v>
      </c>
      <c r="AG54" t="s">
        <v>298</v>
      </c>
      <c r="AH54" t="s">
        <v>275</v>
      </c>
      <c r="AI54" t="s">
        <v>109</v>
      </c>
      <c r="AJ54" t="s">
        <v>303</v>
      </c>
      <c r="AK54" t="s">
        <v>110</v>
      </c>
      <c r="AL54" t="s">
        <v>299</v>
      </c>
      <c r="AM54" t="s">
        <v>305</v>
      </c>
      <c r="AN54" t="s">
        <v>302</v>
      </c>
      <c r="AP54" t="s">
        <v>301</v>
      </c>
    </row>
    <row r="55" spans="1:42" x14ac:dyDescent="0.2">
      <c r="A55">
        <v>12</v>
      </c>
      <c r="B55">
        <v>2003</v>
      </c>
      <c r="C55" t="s">
        <v>19</v>
      </c>
      <c r="D55" t="s">
        <v>73</v>
      </c>
      <c r="E55" t="s">
        <v>28</v>
      </c>
      <c r="G55">
        <v>100</v>
      </c>
      <c r="H55">
        <v>3</v>
      </c>
      <c r="I55" t="s">
        <v>38</v>
      </c>
      <c r="J55" t="s">
        <v>32</v>
      </c>
      <c r="AD55" t="s">
        <v>46</v>
      </c>
      <c r="AE55" t="s">
        <v>52</v>
      </c>
      <c r="AF55" t="s">
        <v>52</v>
      </c>
      <c r="AG55" t="s">
        <v>50</v>
      </c>
      <c r="AH55" t="s">
        <v>43</v>
      </c>
      <c r="AP55" t="s">
        <v>152</v>
      </c>
    </row>
    <row r="56" spans="1:42" x14ac:dyDescent="0.2">
      <c r="A56">
        <v>12</v>
      </c>
      <c r="B56">
        <v>2003</v>
      </c>
      <c r="C56" t="s">
        <v>19</v>
      </c>
      <c r="D56" t="s">
        <v>73</v>
      </c>
      <c r="E56" t="s">
        <v>28</v>
      </c>
      <c r="G56">
        <v>100</v>
      </c>
      <c r="H56">
        <v>3</v>
      </c>
      <c r="I56" t="s">
        <v>38</v>
      </c>
      <c r="J56" t="s">
        <v>32</v>
      </c>
      <c r="AD56" t="s">
        <v>46</v>
      </c>
      <c r="AE56" t="s">
        <v>52</v>
      </c>
      <c r="AF56" t="s">
        <v>51</v>
      </c>
      <c r="AG56" t="s">
        <v>53</v>
      </c>
      <c r="AH56" t="s">
        <v>43</v>
      </c>
    </row>
    <row r="57" spans="1:42" x14ac:dyDescent="0.2">
      <c r="A57">
        <v>12</v>
      </c>
      <c r="B57">
        <v>2003</v>
      </c>
      <c r="C57" t="s">
        <v>19</v>
      </c>
      <c r="D57" t="s">
        <v>73</v>
      </c>
      <c r="E57" t="s">
        <v>28</v>
      </c>
      <c r="G57">
        <v>100</v>
      </c>
      <c r="H57">
        <v>3</v>
      </c>
      <c r="I57" t="s">
        <v>38</v>
      </c>
      <c r="J57" t="s">
        <v>32</v>
      </c>
      <c r="AD57" t="s">
        <v>46</v>
      </c>
      <c r="AE57" t="s">
        <v>52</v>
      </c>
      <c r="AF57" t="s">
        <v>51</v>
      </c>
      <c r="AG57" t="s">
        <v>53</v>
      </c>
      <c r="AH57" t="s">
        <v>43</v>
      </c>
    </row>
    <row r="58" spans="1:42" x14ac:dyDescent="0.2">
      <c r="A58">
        <v>13</v>
      </c>
      <c r="B58">
        <v>2011</v>
      </c>
      <c r="C58" t="s">
        <v>24</v>
      </c>
      <c r="D58" t="s">
        <v>73</v>
      </c>
      <c r="E58" t="s">
        <v>29</v>
      </c>
      <c r="G58">
        <v>358</v>
      </c>
      <c r="H58" t="s">
        <v>39</v>
      </c>
      <c r="I58" t="s">
        <v>38</v>
      </c>
      <c r="J58" t="s">
        <v>32</v>
      </c>
      <c r="AD58" t="s">
        <v>61</v>
      </c>
      <c r="AE58" t="s">
        <v>66</v>
      </c>
      <c r="AF58" t="s">
        <v>52</v>
      </c>
      <c r="AG58" t="s">
        <v>52</v>
      </c>
      <c r="AH58" t="s">
        <v>45</v>
      </c>
    </row>
    <row r="59" spans="1:42" x14ac:dyDescent="0.2">
      <c r="A59">
        <v>13</v>
      </c>
      <c r="B59">
        <v>2011</v>
      </c>
      <c r="C59" t="s">
        <v>24</v>
      </c>
      <c r="D59" t="s">
        <v>73</v>
      </c>
      <c r="E59" t="s">
        <v>29</v>
      </c>
      <c r="G59">
        <v>358</v>
      </c>
      <c r="H59" t="s">
        <v>39</v>
      </c>
      <c r="I59" t="s">
        <v>38</v>
      </c>
      <c r="J59" t="s">
        <v>32</v>
      </c>
      <c r="AD59" t="s">
        <v>65</v>
      </c>
      <c r="AE59" t="s">
        <v>68</v>
      </c>
      <c r="AF59" t="s">
        <v>52</v>
      </c>
      <c r="AG59" t="s">
        <v>69</v>
      </c>
      <c r="AH59" t="s">
        <v>45</v>
      </c>
    </row>
    <row r="62" spans="1:42" x14ac:dyDescent="0.2">
      <c r="A62" t="s">
        <v>314</v>
      </c>
    </row>
    <row r="63" spans="1:42" x14ac:dyDescent="0.2">
      <c r="A6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All variables</vt:lpstr>
      <vt:lpstr>including subsets</vt:lpstr>
      <vt:lpstr>Studies</vt:lpstr>
      <vt:lpstr>excluded</vt:lpstr>
      <vt:lpstr>Sheet1</vt:lpstr>
      <vt:lpstr>calcium intake</vt:lpstr>
      <vt:lpstr>calculating bouchouch SDs</vt:lpstr>
      <vt:lpstr>pasted values 6march</vt:lpstr>
      <vt:lpstr>pasted values 6march newer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Theodore Mitchell (tmitchell@CGDEV.ORG)</dc:creator>
  <cp:lastModifiedBy>Theodore Mitchell</cp:lastModifiedBy>
  <dcterms:created xsi:type="dcterms:W3CDTF">2025-03-03T15:42:13Z</dcterms:created>
  <dcterms:modified xsi:type="dcterms:W3CDTF">2025-12-17T17:14:09Z</dcterms:modified>
</cp:coreProperties>
</file>