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theodoremitchell/CGD Education Dropbox/Education Team Files/Research/Lead/Supplement Meta/input/"/>
    </mc:Choice>
  </mc:AlternateContent>
  <xr:revisionPtr revIDLastSave="0" documentId="13_ncr:1_{CABF95A2-A490-7146-88C4-5DABE72FCE8E}" xr6:coauthVersionLast="47" xr6:coauthVersionMax="47" xr10:uidLastSave="{00000000-0000-0000-0000-000000000000}"/>
  <bookViews>
    <workbookView xWindow="-4600" yWindow="-21000" windowWidth="38360" windowHeight="16400" xr2:uid="{00D9C3BF-2B53-DC43-818E-10ACBFD75E0E}"/>
  </bookViews>
  <sheets>
    <sheet name="All variables" sheetId="10"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4" i="10" l="1"/>
  <c r="AE4" i="10"/>
  <c r="AE3" i="10"/>
  <c r="AF4" i="10"/>
  <c r="AF3" i="10"/>
  <c r="AF6" i="10"/>
  <c r="AF5" i="10"/>
  <c r="AE12" i="10"/>
  <c r="AE11" i="10"/>
  <c r="AF9" i="10" l="1"/>
  <c r="AF13" i="10"/>
  <c r="AE13" i="10"/>
  <c r="AF8" i="10"/>
  <c r="AF7" i="10"/>
  <c r="AE7" i="10"/>
  <c r="AF12" i="10"/>
  <c r="AG5" i="10"/>
  <c r="AG6" i="10"/>
  <c r="AG3" i="10"/>
  <c r="AE8" i="10"/>
  <c r="AE6" i="10"/>
  <c r="AE5" i="10"/>
  <c r="AF19" i="10"/>
  <c r="AF20" i="10"/>
  <c r="R5" i="10"/>
  <c r="M5" i="10"/>
  <c r="AF18" i="10"/>
  <c r="AE18" i="10"/>
  <c r="AE19" i="10"/>
  <c r="AF10" i="10" l="1"/>
  <c r="AF17" i="10"/>
  <c r="AF16" i="10"/>
  <c r="AF15" i="10"/>
  <c r="M12" i="10"/>
  <c r="M11" i="10"/>
  <c r="AF2" i="10"/>
  <c r="AE2" i="10"/>
  <c r="AE20" i="10"/>
  <c r="M20" i="10" l="1"/>
  <c r="M19" i="10"/>
  <c r="L19" i="10"/>
  <c r="M18" i="10"/>
  <c r="L18" i="10"/>
  <c r="AE16" i="10"/>
  <c r="M16" i="10"/>
  <c r="AE15" i="10"/>
  <c r="M15" i="10"/>
  <c r="M14" i="10"/>
  <c r="AD13" i="10"/>
  <c r="AB13" i="10"/>
  <c r="Q13" i="10"/>
  <c r="M13" i="10"/>
  <c r="G10" i="10"/>
  <c r="F10" i="10"/>
  <c r="G9" i="10"/>
  <c r="F9" i="10"/>
  <c r="M8" i="10"/>
  <c r="M7" i="10"/>
  <c r="R6" i="10"/>
  <c r="M6" i="10"/>
  <c r="M2" i="10"/>
  <c r="AG19" i="10" l="1"/>
  <c r="AG7" i="10"/>
  <c r="AG18" i="10"/>
  <c r="AG20" i="10"/>
  <c r="M9" i="10"/>
  <c r="AG13" i="10"/>
  <c r="AG15" i="10"/>
  <c r="AG8" i="10"/>
  <c r="AG16" i="10"/>
  <c r="AF11" i="10" l="1"/>
</calcChain>
</file>

<file path=xl/sharedStrings.xml><?xml version="1.0" encoding="utf-8"?>
<sst xmlns="http://schemas.openxmlformats.org/spreadsheetml/2006/main" count="606" uniqueCount="301">
  <si>
    <t>Study</t>
  </si>
  <si>
    <t>Study Design</t>
  </si>
  <si>
    <t>Country</t>
  </si>
  <si>
    <t>dosage (amount per time unit)</t>
  </si>
  <si>
    <t>duration of supplementation</t>
  </si>
  <si>
    <t>mode of administration</t>
  </si>
  <si>
    <t>comparison group (placebo, no intervention, low-calcium diet)</t>
  </si>
  <si>
    <t>calcium intake in control group (in diet)</t>
  </si>
  <si>
    <t>Environmental lead exposure (high or ow risk)</t>
  </si>
  <si>
    <t>Other nutrient supplementation (iron, Vit D)</t>
  </si>
  <si>
    <t>Dropout rate</t>
  </si>
  <si>
    <t>RCT</t>
  </si>
  <si>
    <t>6 months</t>
  </si>
  <si>
    <t>Rosado et al. 2006​</t>
  </si>
  <si>
    <t>Zimmermann et al. 2006</t>
  </si>
  <si>
    <t>Markowitz et al. 2004</t>
  </si>
  <si>
    <t>Sargent et al. 1999</t>
  </si>
  <si>
    <t>Hernández-Avila et al. 2003</t>
  </si>
  <si>
    <t>Ettinger et al. 2009</t>
  </si>
  <si>
    <t>Keating et al. 2011</t>
  </si>
  <si>
    <t>Mexico</t>
  </si>
  <si>
    <t>India</t>
  </si>
  <si>
    <t>USA</t>
  </si>
  <si>
    <t>Nigeria</t>
  </si>
  <si>
    <t>5 to 9</t>
  </si>
  <si>
    <t>6 to 7</t>
  </si>
  <si>
    <t>1 to 2</t>
  </si>
  <si>
    <t>1 to 6</t>
  </si>
  <si>
    <t>0.3 to 0.5</t>
  </si>
  <si>
    <t>1st trimester</t>
  </si>
  <si>
    <t>Child age at start of trial</t>
  </si>
  <si>
    <t>Mother age at start of trial</t>
  </si>
  <si>
    <t>n/a</t>
  </si>
  <si>
    <t>supplement compound</t>
  </si>
  <si>
    <t>Supplementation Duration (months)</t>
  </si>
  <si>
    <t>Placebo</t>
  </si>
  <si>
    <t>Standard formula (465 mg Ca/L)</t>
  </si>
  <si>
    <t>Placebo (vitamin A only, no added Ca)</t>
  </si>
  <si>
    <t>iron</t>
  </si>
  <si>
    <t>iron and zinc</t>
  </si>
  <si>
    <t>1,800 mg Ca/day</t>
  </si>
  <si>
    <t>3 months</t>
  </si>
  <si>
    <t>not yet sure</t>
  </si>
  <si>
    <t>oral</t>
  </si>
  <si>
    <t>30mg Fe/day</t>
  </si>
  <si>
    <t>Calcium glycerophosphate</t>
  </si>
  <si>
    <t>Ferric pyrophosphate Fe₄(P₂O₇)₃</t>
  </si>
  <si>
    <t>baby formula</t>
  </si>
  <si>
    <t>Calcium carbonate</t>
  </si>
  <si>
    <t>9 months</t>
  </si>
  <si>
    <t>6 months (during breastfeeding)</t>
  </si>
  <si>
    <t>High-calcium food (ground fish)</t>
  </si>
  <si>
    <t>400 mg Ca/day</t>
  </si>
  <si>
    <t>1,200 mg Ca/day</t>
  </si>
  <si>
    <t>500 mg Ca/day</t>
  </si>
  <si>
    <t>food</t>
  </si>
  <si>
    <t>Sofyani &amp; Lelo 2017</t>
  </si>
  <si>
    <t>Indonesia</t>
  </si>
  <si>
    <t>Haryanto et al. 2015</t>
  </si>
  <si>
    <t>Rico et al. 2006</t>
  </si>
  <si>
    <t>baseline BLL control group SD</t>
  </si>
  <si>
    <t>baseline BLL treatment group SD</t>
  </si>
  <si>
    <t>2 x 400 mg Ca/day</t>
  </si>
  <si>
    <t>8 to 12</t>
  </si>
  <si>
    <t>2.1 (median)</t>
  </si>
  <si>
    <t>baseline BLL control group mean µg/dL</t>
  </si>
  <si>
    <t>baseline BLL treatment group mean µg/dL</t>
  </si>
  <si>
    <t>2.04 (median)</t>
  </si>
  <si>
    <t>2.1 to 9 (range)</t>
  </si>
  <si>
    <t>0.4 to 12 (range)</t>
  </si>
  <si>
    <t>0.41 to 12.1 (range)</t>
  </si>
  <si>
    <t>statistical significance (p-value)</t>
  </si>
  <si>
    <t>Blood lead measurement tool</t>
  </si>
  <si>
    <t>atomic absorption spectrophotometry using a PerkinElmer spectrophotometer</t>
  </si>
  <si>
    <t>not stated</t>
  </si>
  <si>
    <t>No intervention</t>
  </si>
  <si>
    <t>not measured but food questionnaire done</t>
  </si>
  <si>
    <t>high traffic density in medan</t>
  </si>
  <si>
    <t>Quasi Experimental (control group has no intervention instead of placebo, otherwise the study is randomised) (compliance not measured)</t>
  </si>
  <si>
    <t>diets statistics given, some malnutrition</t>
  </si>
  <si>
    <t>representative study in the area</t>
  </si>
  <si>
    <t>not measured</t>
  </si>
  <si>
    <t>even</t>
  </si>
  <si>
    <t>9 to 12</t>
  </si>
  <si>
    <t>not mentioned</t>
  </si>
  <si>
    <t>Sofyani et al. 2020</t>
  </si>
  <si>
    <t>atomic absorption spectrophotometry (AAS) using a Perkin-Elmer spectrophotometer</t>
  </si>
  <si>
    <t>not stated, calcium</t>
  </si>
  <si>
    <t xml:space="preserve">not measured  </t>
  </si>
  <si>
    <t>no</t>
  </si>
  <si>
    <t>sex distribution (% male)</t>
  </si>
  <si>
    <t>Main effect: Difference in mean BLL (Tt2-Tt1)-(Ct2-Ct1)</t>
  </si>
  <si>
    <t>(not specified, they did SD's of the difference not the final result)</t>
  </si>
  <si>
    <t>(not specified, they did SD's of the difference not the final result) - chatgpt thinks we can impute this if we assume equal variance across groups. SEdiff​=sqrt(((SD1^2))/n1)+((SD2^2))/n2))</t>
  </si>
  <si>
    <t>(not specified, they did p values of the Tt2-Tt1 difference, not the final result) but from our imputed SE, it is not significant</t>
  </si>
  <si>
    <t>iron (ferrous fumarate)</t>
  </si>
  <si>
    <t>lived within 3.5km of smelter</t>
  </si>
  <si>
    <t>517 out of 602 (85.9%) completed supplementation and had initial and final PbB values (implying about 14% dropout rate)</t>
  </si>
  <si>
    <t>Iron group: 46 boys / 20 girls, Control group: 34 boys / 34 girls</t>
  </si>
  <si>
    <t>15 mg Fe/day (6 days/week)</t>
  </si>
  <si>
    <t>iron fortified food, Fortified rice meal, consumed at midday under supervision</t>
  </si>
  <si>
    <t>Placebo: Identical food without iron</t>
  </si>
  <si>
    <t>Urban environment in Bangalore, India</t>
  </si>
  <si>
    <t>all meals had other nutrients</t>
  </si>
  <si>
    <t>4 children absent at retesting (3 from iron group, 1 from control group)</t>
  </si>
  <si>
    <t>only iron deificient children were chosen for the study</t>
  </si>
  <si>
    <t>no (10% had iron defiicnecy, 12% were anemic)</t>
  </si>
  <si>
    <t>Notes</t>
  </si>
  <si>
    <t>the baseline BLLs were measured 14 weeks into the study, but the %EBLL are the same from wk1 (a subsample) and wk14. at wk14 they were also dewormed. They don’t provide info for how the 14 weeks affcts the results, but confidently state the effect size.</t>
  </si>
  <si>
    <t>Treatment  Group Sample Size (at outcome measurement)</t>
  </si>
  <si>
    <t>Control group Sample Size (at outcome measurement)</t>
  </si>
  <si>
    <t>atomic absorption spectrophotometry (AAS) with a graphite furnace detector - Instrument Used: Zeeman 5100, Perkin Elmer</t>
  </si>
  <si>
    <t>anodic stripping voltammetry (ASV) with an ESA model 3010B blood lead analyzer (ESA, Chelmsford, MA).</t>
  </si>
  <si>
    <t>Calcium glubionate</t>
  </si>
  <si>
    <t xml:space="preserve">liquid  (115 mg elemental Ca/5 mL) 3 portions a day taken before meals. </t>
  </si>
  <si>
    <t>1108 ± 465 mg/day (placebo group) vs. 973 ± 409 mg/day (calcium group) at enrollment</t>
  </si>
  <si>
    <t xml:space="preserve">Vit d measured. </t>
  </si>
  <si>
    <t>(iron deficient kids only) (also children were dewormed at beginning of study)</t>
  </si>
  <si>
    <t>iron deficient kids EXCLUDED otherwise representative study in the area</t>
  </si>
  <si>
    <t>medium-risk (inner-city children with documented lead exposure from paint and dust) in bronx NY</t>
  </si>
  <si>
    <t xml:space="preserve">no  </t>
  </si>
  <si>
    <t>Perkin Elmer 4110 ZL Atomic Absorption Spectrometer - Flameless Atomic Absorption Spectrometry (AAS)</t>
  </si>
  <si>
    <t>4 months</t>
  </si>
  <si>
    <t>many excluion criteria, not representative</t>
  </si>
  <si>
    <t>representative study?</t>
  </si>
  <si>
    <t>living in high risk area</t>
  </si>
  <si>
    <t>Some children (13 total: 5 control, 8 supplemented) received iron supplements due to low serum ferritin concentrations</t>
  </si>
  <si>
    <t>21%, 11 control, 11 treatment</t>
  </si>
  <si>
    <t>1600 mg/day</t>
  </si>
  <si>
    <t>1730 mg/day</t>
  </si>
  <si>
    <t>anodic stripping voltammetry (ASV) a modification of the method in the Environmental Science Associates (Boston) instruction manual for the 3010A Trace Metal Analyzer</t>
  </si>
  <si>
    <t>83% retention rate</t>
  </si>
  <si>
    <t>breastfeeding, calcium given to mother</t>
  </si>
  <si>
    <t>n/a (0.08-0.25)</t>
  </si>
  <si>
    <t>n/a (mothers measured)</t>
  </si>
  <si>
    <t>3 months (during breastfeeding)</t>
  </si>
  <si>
    <t>1 month postpartum</t>
  </si>
  <si>
    <t>SE of Main effect on BLL (not SD!)</t>
  </si>
  <si>
    <t>4 month</t>
  </si>
  <si>
    <t>9 month</t>
  </si>
  <si>
    <t>3 month, full sample</t>
  </si>
  <si>
    <t>Perkin Elmer 3000 Technique: Graphite Furnace Atomic Absorption Spectroscopy (GFAAS</t>
  </si>
  <si>
    <t>10-30% used lead glazed ceramics</t>
  </si>
  <si>
    <t>yes, but some dropout and some refused to breastfeed.</t>
  </si>
  <si>
    <t>900 mg Ca/day from diet</t>
  </si>
  <si>
    <t>1,137 mg/day (SD 597)</t>
  </si>
  <si>
    <t>3 months (2nd trimester)</t>
  </si>
  <si>
    <t>3 months (1st trimester)</t>
  </si>
  <si>
    <t>full sample, 3rd semester (log transforemed effect size)</t>
  </si>
  <si>
    <t>full sample, 2nd semester, (log transforemed effect size)</t>
  </si>
  <si>
    <t>35% used lead ceramics</t>
  </si>
  <si>
    <t>low income rural</t>
  </si>
  <si>
    <t>15.7% of 670 paricipants Higher retention in the calcium group than in the placebo group (13.8% vs. 17.6%).</t>
  </si>
  <si>
    <t>placebo</t>
  </si>
  <si>
    <t>250mg Ca/day</t>
  </si>
  <si>
    <t>500mg Ca/day</t>
  </si>
  <si>
    <t>9 to 11</t>
  </si>
  <si>
    <t>equal</t>
  </si>
  <si>
    <t>25.5% (102 out of 400), mostly due to school schedules and high humidity affecting sample analysis</t>
  </si>
  <si>
    <t>Majority from Kampong slum areas</t>
  </si>
  <si>
    <t>diet measured</t>
  </si>
  <si>
    <t xml:space="preserve">urban Kampong slum </t>
  </si>
  <si>
    <t>oral (Chewable tablet (Calcium Sandoz Junior, chocolate flavored)_</t>
  </si>
  <si>
    <t>Low dietary calcium intake (~55% of adequate intake)</t>
  </si>
  <si>
    <t>250 Ca mg/day</t>
  </si>
  <si>
    <t>500 Ca mg/day</t>
  </si>
  <si>
    <t>Portable Lead Care Analyzer (ESA, Inc., Chelmsford, MA).</t>
  </si>
  <si>
    <t>6 to 8</t>
  </si>
  <si>
    <t>calcium, compound not stated</t>
  </si>
  <si>
    <t>oral (administered in schools)</t>
  </si>
  <si>
    <t>mixed SES backgriund</t>
  </si>
  <si>
    <t>atomic absorption spectrophotometry</t>
  </si>
  <si>
    <t>measured cognition, found results</t>
  </si>
  <si>
    <t>yes, 51% had BLL levels _x0003_10 _x0001_g/dL. The overall prevalence of children with depleted iron stores (SF _x0002_15 _x0001_g/L) and zinc deficiency (SZn _x0004_65 _x0001_g/dL) was 21.7% and 28.9%, respectively.</t>
  </si>
  <si>
    <t>high,</t>
  </si>
  <si>
    <t>iron and iron+zinc average</t>
  </si>
  <si>
    <t>30mg Fe/day  and ( 30mg Fe/day + 30mg Zn/day ) average</t>
  </si>
  <si>
    <t>significant</t>
  </si>
  <si>
    <t>Publication Year</t>
  </si>
  <si>
    <t>Study Id</t>
  </si>
  <si>
    <t>Lower 95% CI of main effect</t>
  </si>
  <si>
    <t>Higher 95% CI of main effect</t>
  </si>
  <si>
    <t>notes on main effect, SE, CI</t>
  </si>
  <si>
    <t>post int BLL trt group mean µg/dL</t>
  </si>
  <si>
    <t>post  BLL trt group SD</t>
  </si>
  <si>
    <t>post int BLL ctrl group mean µg/dL</t>
  </si>
  <si>
    <t>post int BLL ctrl group SD</t>
  </si>
  <si>
    <t>6 month, full sample</t>
  </si>
  <si>
    <t>supplement element</t>
  </si>
  <si>
    <t>calcium</t>
  </si>
  <si>
    <t>population_group</t>
  </si>
  <si>
    <t>child</t>
  </si>
  <si>
    <t>mother</t>
  </si>
  <si>
    <t>Whole sample BLL baseline mean</t>
  </si>
  <si>
    <t>Quasi Experimental (village level randomisation, differing baselines, no placebo (all groups got vit A)</t>
  </si>
  <si>
    <t>42.8% dropout</t>
  </si>
  <si>
    <t>Atomic absorption spectrophotometry (LeadTech Corp)</t>
  </si>
  <si>
    <t>29 (from dairy)</t>
  </si>
  <si>
    <t>35 (from dairy)</t>
  </si>
  <si>
    <t>High risk (eye cosmetics, proximity to lead-acid battery melting)</t>
  </si>
  <si>
    <t>vit A for T and C</t>
  </si>
  <si>
    <t>yes, villages had different baseline characteristics</t>
  </si>
  <si>
    <t>Compliance was relatively low, with children consuming about 50-60% of their intended calcium doses. Ground fish was better consumed than calcium tablets (65% vs. 57% compliance rate). This low compliance might have affected the study's ability to detect an effect of calcium supplementation on blood lead levels.</t>
  </si>
  <si>
    <t>calcium tablets</t>
  </si>
  <si>
    <t>fish</t>
  </si>
  <si>
    <t>Morocco</t>
  </si>
  <si>
    <t>Bouhouch et al. 2016</t>
  </si>
  <si>
    <t>inclusion criteria: Our inclusion criteria were as follows: 1) preschool-aged thirdthrough sixth-graders, who were 2) apparently healthy, 3) had hemoglobin concentrations .7 g/dL, and 4) did not use iron supplements.</t>
  </si>
  <si>
    <t>8 to 11</t>
  </si>
  <si>
    <t>inductively coupled plasma mass spectrometry (Agilent 7700X; Agilent Technologies)</t>
  </si>
  <si>
    <t>iron suplhate</t>
  </si>
  <si>
    <t>6.4 months</t>
  </si>
  <si>
    <t>biscuits</t>
  </si>
  <si>
    <t>medium risk, avg BLL 3</t>
  </si>
  <si>
    <t>yes</t>
  </si>
  <si>
    <t>about 10% dropout</t>
  </si>
  <si>
    <t>% iron deficient (&lt;12/L Serrum ferretin)</t>
  </si>
  <si>
    <t>dietary calcium: 1,137 mg/day (SD 597)</t>
  </si>
  <si>
    <t>dietary calcium: 900 mg Ca/day</t>
  </si>
  <si>
    <t>were the kids iron deficient?</t>
  </si>
  <si>
    <t>baseline iron mean (hb) g/dL</t>
  </si>
  <si>
    <t>baseline iron mean (Serrum Ferretin)  µg/L</t>
  </si>
  <si>
    <t xml:space="preserve">Compliance was relatively low, with children consuming about 50-60% of their intended calcium doses. Ground fish was better consumed than calcium tablets (65% vs. 57% compliance rate). This low compliance might have affected the study's ability to detect an effect of calcium supplementation on blood lead levels. Quasi experimental because </t>
  </si>
  <si>
    <t>I estimated complaince from its efforts to ensure compliance</t>
  </si>
  <si>
    <t>only maternal blood lead measured. compliance estimated</t>
  </si>
  <si>
    <t>low dietary calcium (only dairy measured), but baseline serum calcium normal. compliance "65% (meaning Estimated Calcium Intake During the Trial
    Calcium tablet group: 226 ± 99 mg/day (compared to the intended 400 mg/day))"</t>
  </si>
  <si>
    <t>low dietary calcium (only dairy measured), but baseline serum calcium normal. 57% (meaning Estimated Calcium Intake During the Trial
    Calcium tablet group: 309 ± 137 mg/day (compared to the intended 400 mg/day))</t>
  </si>
  <si>
    <t>hemoglobin levels below 7g/L. complaince 100% because it is already considerd in the dosage.</t>
  </si>
  <si>
    <t>8 mg FE per day</t>
  </si>
  <si>
    <t>% anemic (&lt;12.4 or so HB) (depends on altitude) (actual numbers)</t>
  </si>
  <si>
    <t>Comliance rate (%) (estimate)</t>
  </si>
  <si>
    <t>Unsure (table says 0.01, unlikely)</t>
  </si>
  <si>
    <t>SE and pvalues can be calculated once effect is known</t>
  </si>
  <si>
    <t>Unsure (can be calculated once main effect is known)</t>
  </si>
  <si>
    <t>0.01 (unlikely)</t>
  </si>
  <si>
    <t>0 (unlikely)</t>
  </si>
  <si>
    <t>SD's were estimated from the only effect and SD stated in the text (for baseline T group), as results table did not state what was being shown (SE or SD), and it seemed too small for SD.</t>
  </si>
  <si>
    <t>iron unadjusted estimate</t>
  </si>
  <si>
    <t>1800 mg Ca</t>
  </si>
  <si>
    <t>baseline calcium intake estimate ca mg day</t>
  </si>
  <si>
    <t>dietary calcium estimated from https://journals.sagepub.com/doi/10.1177/10105395211041001</t>
  </si>
  <si>
    <t>calcium est notes</t>
  </si>
  <si>
    <t xml:space="preserve">2.2  (serrum calcium mmol/L) </t>
  </si>
  <si>
    <t xml:space="preserve">2.5  (serrum calcium mmol/L) </t>
  </si>
  <si>
    <t>2.5 (serrum calcium mmol/L)  dietary calcium estimated from https://doi.org/10.1067/mpd.2000.107527
from https://doi.org/10.1067/mpd.2000.107527</t>
  </si>
  <si>
    <t>2.5. (serrum calcium mmol/L)  dietary calcium estimated from https://doi.org/10.1067/mpd.2000.107527
from https://doi.org/10.1067/mpd.2000.107527</t>
  </si>
  <si>
    <t>pct_anemic_est_notes</t>
  </si>
  <si>
    <t>Exclusion Criteria: Chelation in the past 3 mo, Concomitant Fe deficiency (ferritin &lt;16 ng/mL). Hemoglobin &lt; 10.5 g/dL from any cause. Metabolic bone disease. Medications affecting mineral metabolism. such as steroids, diuretics, large doses of vitamins. Inclusion Criteria: Initial BPbs 10-44 ug/dL. Age 1-6 y. Normal intake history and physical. Availability of telephone contact.</t>
  </si>
  <si>
    <t>exclusion criteria: 1) the parent and infant resided in a geographic area identified as high risk of lead exposure; 2) the infant was drinking ≥ 600 mL (20 oz) cow milk–based formula/d; 3) the infant was between 2.5 and 5 mo of age; 4) the infant’s birth weight was &gt; 2.0 kg; 5) the infant’s length and weight were above the 5th percentile for age; 6) there was no history of kidney stones in first-degree relatives; 7) the infant had no history of rickets, parathyroid dysfunction, or a recent fracture; 8) the infant was not taking supplemental multivitamins or, if he or she was, the parent was willing to discontinue them; and 9) the infant was not chronically taking medications other than antihistamine decongestants, fluoride supplements, or prophylactic antibiotics to prevent recurrent otitis media.</t>
  </si>
  <si>
    <t>T had sFe of 45, C has sFe of 70. C and T kids received iron fortified food, T received Ca as well.</t>
  </si>
  <si>
    <t>Study Sample eligibility criteria</t>
  </si>
  <si>
    <t>Exclusion Criteria: Children were excluded from the study if their PbB was .45 mg/dL (2.17 mmol/L) or hemoglobin (Hb)was ,90 g/ L. One child with a PbB .45 mg/dL was referred for clinical treatment. No children were excluded based on Hb.</t>
  </si>
  <si>
    <t>inclusion criteria included intention to breastfeed, residency in Mexico City and a normal pregnancy and delivery.</t>
  </si>
  <si>
    <t>inclusion criteria pregnancy of no more than 14 weeks’ gestation; not presenting with a high-risk pregnancy; plans to reside in the metropolitan Mexico City area for ~ 5 years</t>
  </si>
  <si>
    <t>exclusion criteria were children with kidney failure, abnormalities of brain dysfunction, malnutrition, history of allergies. inclusion criteria - children at school</t>
  </si>
  <si>
    <t>exclusion criteria were children with kidney failure, abnormalities of brain dysfunction, history of allergies, or resigned after being given an explanation. inclusion criteria - children at school</t>
  </si>
  <si>
    <t>inclusion criteria: child in school in Bandung</t>
  </si>
  <si>
    <t>inclusion criteria: First-graders (n _x0003_ 724) from 9 public elementary schools that are located within a 3.5-km radius. and consent from parents exclusion criteria: PbB &gt;45 mcg/dl. (1 child). and Hb &lt;9g/dl (Zero children).</t>
  </si>
  <si>
    <t>inclusion:12-18 months, lived in designated communities.</t>
  </si>
  <si>
    <t>All children who were iron-deficient, defined as either serum ferritin _x0004_15 _x0002_g/L or transferrin receptor _x0003_7.6 mg/L,1,40,41 were invited to join the feeding trial (N _x0001_ 186; aged 5–13 years). This included both nonanemic and mildly anemic children. Children with hemoglobin levels _x0003_90 g/L were excluded from the study and received oral iron supplementation.</t>
  </si>
  <si>
    <t>Percentage given. This is % below 12.4 hb. it is adjusted to account for 2300 m altitude.</t>
  </si>
  <si>
    <t>Percentage given. 11.5 anemia cutoff, which is correct for age 5-11. Mean anemia 120 +- 10 (SD) Hb g/L.</t>
  </si>
  <si>
    <t>local estimate, this is a calcium study anyway</t>
  </si>
  <si>
    <t>Percentage given: Exclusion criteria &lt;10.5 Hb, but 11 is the cutoff for anemia. Calcium study anyway.</t>
  </si>
  <si>
    <t>%&lt;12 measurement. calcium study</t>
  </si>
  <si>
    <t>estimated from: 21.7% iron deficiency (SF ≤ 15 µg/L). (https://pmc.ncbi.nlm.nih.gov/articles/PMC10261006/ finds 60% of SF&lt;15 have anemia in school girls.)</t>
  </si>
  <si>
    <t xml:space="preserve">Percentage given. uses cutoffs for hemoglobin of ,11.0, ,115, and ,120 g/dL for children aged ,5 y, 5–11, and $12 y. </t>
  </si>
  <si>
    <t>pct_anemic_estimated  (&lt;11 or so Hb, depending on age: &lt;11 for 0-5,&lt;11.5 for 5-11, &lt;12 for 12-14, &lt;11 or pregnant)</t>
  </si>
  <si>
    <t>effect_variant_short</t>
  </si>
  <si>
    <t>4m</t>
  </si>
  <si>
    <t>9m</t>
  </si>
  <si>
    <t>3m full sample</t>
  </si>
  <si>
    <t>6m full sample</t>
  </si>
  <si>
    <t>tablets</t>
  </si>
  <si>
    <t>fish meal</t>
  </si>
  <si>
    <t>iron, unadjusted</t>
  </si>
  <si>
    <t>full sample, T3</t>
  </si>
  <si>
    <t>full sample, T2</t>
  </si>
  <si>
    <t>24% dropout</t>
  </si>
  <si>
    <t>overall compaince estimated. bll mean and sd converted from geometric to arithmetic</t>
  </si>
  <si>
    <t xml:space="preserve">(Main effect calculated from differences in T and C means (Tt2-Tt1)-(Ct2-Ct1) (individual SDs calculated from CI's, main effect SE estimated: SE_DID = SQRT(
 (SE_T_pre^2 + SE_T_post^2 - 2*rho*SE_T_pre*SE_T_post)
+ (SE_C_pre^2 + SE_C_post^2 - 2*rho*SE_C_pre*SE_C_post)
), where SE1=U-L/2*1.96, assumes rho=0.5 (within-person correlation)) </t>
  </si>
  <si>
    <t>14wks</t>
  </si>
  <si>
    <t>30wks</t>
  </si>
  <si>
    <t>Main effect is from table 2: (Fet2-Fet1)-(ctrlt2-ctrlt1). SE(did) if from standard deviations of Fet2-Fet1 (1.55) and ctrlt2-ctrlt1 (1.55), using this formula (note that it doesn’t need rho: SE(did) = sqrt( (SD(∆T)^2)/n(T) + (SD(∆C)^2)/n(C) )</t>
  </si>
  <si>
    <t>(main effect ∆% from table 3 and main effect: ΔBLL≈Baseline BLL×∆% assuming weighted mean BLL =3.95)) (SE(DID)=|logged_effect * Mean_BLL|/(z_score_from_p=0.001), using ln(beta)=-0.15 and  p=0.001). (z_score from p=0.001 = =ABS(NORM.S.INV(1 - 0.001/2)))</t>
  </si>
  <si>
    <t>(main effect ∆% from table 3 and main effect: ΔBLL≈Baseline BLL×∆% assuming weighted mean BLL =3.95)) (SE(DID)=|logged_effect * Mean_BLL|/(z_score_from_p=0.001), using ln(beta)=-0.08 and  p=0.107). (z_score from p=0.107 = =ABS(NORM.S.INV(1 - 0.107/2)))</t>
  </si>
  <si>
    <t>(Main effect calculated from differences in T and C means (Tt2-Tt1)-(Ct2-Ct1) )(SE estimated: SE_DiD = SQRT(((SD_T1^2 + SD_T2^2 - 2*rho*SD_T1*SD_T2)/n_T) + ((SD_C1^2 + SD_C2^2 - 2*rho*SD_C1*SD_C2)/n_C))) (pvalue calculated with =T.DIST.2T(ABS(V7/W7), D7+E7-2))</t>
  </si>
  <si>
    <t>effect in text. SE and pvalues calcuated from CI of main effect (CI -0.6 to -0.04). se(DID)=((U)-(L))/(2*1.96)</t>
  </si>
  <si>
    <t>(SE calcuated from CI) CI -0.71 to 0.46</t>
  </si>
  <si>
    <t>(SE calcuated from CI) CI -0.77 to 0.34</t>
  </si>
  <si>
    <t>(Main effect calculated from differences in T and C means (Tt2-Tt1)-(Ct2-Ct1) )(SE estimated: SE_DID = SQRT(
 (SE_T_pre^2 + SE_T_post^2 - 2*rho*SE_T_pre*SE_T_post)
+ (SE_C_pre^2 + SE_C_post^2 - 2*rho*SE_C_pre*SE_C_post)
)</t>
  </si>
  <si>
    <t>6months</t>
  </si>
  <si>
    <t>3months</t>
  </si>
  <si>
    <t>included a follow up 3 months after supplementation stopped</t>
  </si>
  <si>
    <t>this 6 months result is 3 monhts after supplementation stopped</t>
  </si>
  <si>
    <t>3 months (this result is taken 3 months after the supplementation stopped)</t>
  </si>
  <si>
    <t>(Main effect from table 3 the differences) )( SE(did) if from standard deviations of Tt2-Tt1 (0.08) and ctrlt2-ctrlt1 (0.11), using this formula (note that it doesn’t need rho: SE(did) = sqrt( (SD(∆T)^2)/n(T) + (SD(∆C)^2)/n(C) )</t>
  </si>
  <si>
    <t xml:space="preserve">(Main effect calculated from differences in T and C means (Tt2-Tt1)-(Ct2-Ct1) )(SE estimated: SE_DiD = SQRT(((SD_T1^2 + SD_T2^2 - 2*rho*SD_T1*SD_T2)/n_T) + ((SD_C1^2 + SD_C2^2 - 2*rho*SD_C1*SD_C2)/n_C))) </t>
  </si>
  <si>
    <t>sofyani 2020 dropped</t>
  </si>
  <si>
    <t>endline results used only because no baseline results taken. DID(SE) comes from SD's</t>
  </si>
  <si>
    <t>What seperates this row from others with the same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</si>
</sst>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sz val="12"/>
      <color rgb="FF006100"/>
      <name val="Aptos Narrow"/>
      <family val="2"/>
      <scheme val="minor"/>
    </font>
    <font>
      <b/>
      <sz val="12"/>
      <color rgb="FF3F3F3F"/>
      <name val="Aptos Narrow"/>
      <family val="2"/>
      <scheme val="minor"/>
    </font>
    <font>
      <b/>
      <sz val="12"/>
      <color rgb="FFFA7D00"/>
      <name val="Aptos Narrow"/>
      <family val="2"/>
      <scheme val="minor"/>
    </font>
    <font>
      <b/>
      <sz val="12"/>
      <color theme="1"/>
      <name val="Aptos Narrow"/>
      <scheme val="minor"/>
    </font>
    <font>
      <b/>
      <sz val="12"/>
      <color rgb="FFFA7D00"/>
      <name val="Aptos Narrow"/>
      <scheme val="minor"/>
    </font>
    <font>
      <b/>
      <sz val="12"/>
      <color rgb="FF006100"/>
      <name val="Aptos Narrow"/>
      <scheme val="minor"/>
    </font>
    <font>
      <b/>
      <sz val="12"/>
      <color rgb="FF3F3F3F"/>
      <name val="Aptos Narrow"/>
      <scheme val="minor"/>
    </font>
    <font>
      <b/>
      <sz val="12"/>
      <color theme="1"/>
      <name val="Aptos Narrow"/>
      <family val="2"/>
      <scheme val="minor"/>
    </font>
    <font>
      <sz val="12"/>
      <color theme="1"/>
      <name val="Aptos Narrow"/>
      <scheme val="minor"/>
    </font>
    <font>
      <sz val="12"/>
      <color rgb="FF9C5700"/>
      <name val="Aptos Narrow"/>
      <family val="2"/>
      <scheme val="minor"/>
    </font>
  </fonts>
  <fills count="5">
    <fill>
      <patternFill patternType="none"/>
    </fill>
    <fill>
      <patternFill patternType="gray125"/>
    </fill>
    <fill>
      <patternFill patternType="solid">
        <fgColor rgb="FFC6EFCE"/>
      </patternFill>
    </fill>
    <fill>
      <patternFill patternType="solid">
        <fgColor rgb="FFF2F2F2"/>
      </patternFill>
    </fill>
    <fill>
      <patternFill patternType="solid">
        <fgColor rgb="FFFFEB9C"/>
      </patternFill>
    </fill>
  </fills>
  <borders count="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top/>
      <bottom/>
      <diagonal/>
    </border>
    <border>
      <left style="thin">
        <color rgb="FF3F3F3F"/>
      </left>
      <right style="thin">
        <color rgb="FF3F3F3F"/>
      </right>
      <top/>
      <bottom/>
      <diagonal/>
    </border>
    <border>
      <left style="thin">
        <color rgb="FF7F7F7F"/>
      </left>
      <right style="thin">
        <color rgb="FF7F7F7F"/>
      </right>
      <top/>
      <bottom/>
      <diagonal/>
    </border>
  </borders>
  <cellStyleXfs count="5">
    <xf numFmtId="0" fontId="0" fillId="0" borderId="0"/>
    <xf numFmtId="0" fontId="1" fillId="2" borderId="0" applyNumberFormat="0" applyBorder="0" applyAlignment="0" applyProtection="0"/>
    <xf numFmtId="0" fontId="2" fillId="3" borderId="2" applyNumberFormat="0" applyAlignment="0" applyProtection="0"/>
    <xf numFmtId="0" fontId="3" fillId="3" borderId="1" applyNumberFormat="0" applyAlignment="0" applyProtection="0"/>
    <xf numFmtId="0" fontId="10" fillId="4" borderId="0" applyNumberFormat="0" applyBorder="0" applyAlignment="0" applyProtection="0"/>
  </cellStyleXfs>
  <cellXfs count="24">
    <xf numFmtId="0" fontId="0" fillId="0" borderId="0" xfId="0"/>
    <xf numFmtId="0" fontId="1" fillId="2" borderId="0" xfId="1"/>
    <xf numFmtId="0" fontId="3" fillId="3" borderId="1" xfId="3"/>
    <xf numFmtId="0" fontId="2" fillId="3" borderId="2" xfId="2"/>
    <xf numFmtId="0" fontId="4" fillId="0" borderId="0" xfId="0" applyFont="1"/>
    <xf numFmtId="0" fontId="5" fillId="3" borderId="1" xfId="3" applyFont="1"/>
    <xf numFmtId="0" fontId="6" fillId="2" borderId="0" xfId="1" applyFont="1"/>
    <xf numFmtId="0" fontId="7" fillId="3" borderId="2" xfId="2" applyFont="1"/>
    <xf numFmtId="0" fontId="3" fillId="3" borderId="1" xfId="3" applyAlignment="1"/>
    <xf numFmtId="0" fontId="1" fillId="2" borderId="0" xfId="1" applyAlignment="1"/>
    <xf numFmtId="0" fontId="2" fillId="3" borderId="2" xfId="2" applyAlignment="1"/>
    <xf numFmtId="0" fontId="2" fillId="3" borderId="3" xfId="2" applyBorder="1" applyAlignment="1"/>
    <xf numFmtId="0" fontId="8" fillId="0" borderId="0" xfId="0" applyFont="1"/>
    <xf numFmtId="0" fontId="9" fillId="0" borderId="0" xfId="0" applyFont="1"/>
    <xf numFmtId="0" fontId="2" fillId="3" borderId="4" xfId="2" applyBorder="1"/>
    <xf numFmtId="10" fontId="0" fillId="0" borderId="0" xfId="0" applyNumberFormat="1"/>
    <xf numFmtId="0" fontId="3" fillId="3" borderId="5" xfId="3" applyBorder="1"/>
    <xf numFmtId="0" fontId="10" fillId="4" borderId="0" xfId="4"/>
    <xf numFmtId="0" fontId="10" fillId="4" borderId="1" xfId="4" applyBorder="1"/>
    <xf numFmtId="0" fontId="10" fillId="4" borderId="2" xfId="4" applyBorder="1"/>
    <xf numFmtId="0" fontId="3" fillId="3" borderId="1" xfId="3" applyAlignment="1">
      <alignment wrapText="1"/>
    </xf>
    <xf numFmtId="9" fontId="0" fillId="0" borderId="0" xfId="0" applyNumberFormat="1"/>
    <xf numFmtId="0" fontId="1" fillId="2" borderId="0" xfId="1" applyAlignment="1">
      <alignment wrapText="1"/>
    </xf>
    <xf numFmtId="2" fontId="1" fillId="2" borderId="0" xfId="1" applyNumberFormat="1" applyAlignment="1"/>
  </cellXfs>
  <cellStyles count="5">
    <cellStyle name="Calculation" xfId="3" builtinId="22"/>
    <cellStyle name="Good" xfId="1" builtinId="26"/>
    <cellStyle name="Neutral" xfId="4" builtinId="28"/>
    <cellStyle name="Normal" xfId="0" builtinId="0"/>
    <cellStyle name="Output" xfId="2"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477D3-3416-E44B-8056-21B8B09A8AF4}">
  <dimension ref="A1:BC20"/>
  <sheetViews>
    <sheetView tabSelected="1" workbookViewId="0">
      <pane xSplit="4" topLeftCell="E1" activePane="topRight" state="frozen"/>
      <selection pane="topRight" activeCell="G24" sqref="G24"/>
    </sheetView>
  </sheetViews>
  <sheetFormatPr baseColWidth="10" defaultRowHeight="16" x14ac:dyDescent="0.2"/>
  <cols>
    <col min="1" max="1" width="11.83203125" customWidth="1"/>
    <col min="2" max="2" width="6.33203125" customWidth="1"/>
    <col min="3" max="3" width="5.33203125" customWidth="1"/>
    <col min="4" max="4" width="4.6640625" customWidth="1"/>
    <col min="5" max="5" width="7" customWidth="1"/>
    <col min="6" max="6" width="10" customWidth="1"/>
    <col min="7" max="7" width="8" customWidth="1"/>
    <col min="8" max="8" width="11" hidden="1" customWidth="1"/>
    <col min="9" max="9" width="14.83203125" hidden="1" customWidth="1"/>
    <col min="10" max="12" width="14.83203125" customWidth="1"/>
    <col min="13" max="13" width="12.1640625" customWidth="1"/>
    <col min="14" max="14" width="16" customWidth="1"/>
    <col min="15" max="15" width="15.1640625" customWidth="1"/>
    <col min="16" max="16" width="14.83203125" customWidth="1"/>
    <col min="17" max="17" width="12.5" customWidth="1"/>
    <col min="18" max="18" width="18" customWidth="1"/>
    <col min="19" max="19" width="24.6640625" customWidth="1"/>
    <col min="20" max="26" width="14.83203125" customWidth="1"/>
    <col min="27" max="27" width="12.83203125" customWidth="1"/>
    <col min="28" max="28" width="12.5" customWidth="1"/>
    <col min="29" max="29" width="11.83203125" customWidth="1"/>
    <col min="30" max="30" width="11.6640625" customWidth="1"/>
    <col min="31" max="31" width="14.83203125" customWidth="1"/>
    <col min="32" max="32" width="10.6640625" customWidth="1"/>
    <col min="33" max="33" width="8.33203125" customWidth="1"/>
    <col min="34" max="34" width="6.6640625" customWidth="1"/>
    <col min="35" max="35" width="7" customWidth="1"/>
    <col min="36" max="36" width="14.83203125" customWidth="1"/>
    <col min="37" max="37" width="17" customWidth="1"/>
    <col min="38" max="47" width="14.83203125" customWidth="1"/>
    <col min="48" max="48" width="24.83203125" customWidth="1"/>
    <col min="49" max="49" width="10.83203125" customWidth="1"/>
    <col min="50" max="50" width="51.83203125" customWidth="1"/>
    <col min="51" max="51" width="20.1640625" customWidth="1"/>
    <col min="52" max="52" width="15" customWidth="1"/>
    <col min="53" max="53" width="53.5" customWidth="1"/>
    <col min="54" max="54" width="30.5" customWidth="1"/>
    <col min="55" max="55" width="17" customWidth="1"/>
  </cols>
  <sheetData>
    <row r="1" spans="1:54" s="4" customFormat="1" ht="45" customHeight="1" x14ac:dyDescent="0.2">
      <c r="A1" s="4" t="s">
        <v>0</v>
      </c>
      <c r="B1" t="s">
        <v>179</v>
      </c>
      <c r="C1" t="s">
        <v>178</v>
      </c>
      <c r="D1" s="4" t="s">
        <v>1</v>
      </c>
      <c r="E1" s="4" t="s">
        <v>2</v>
      </c>
      <c r="F1" s="4" t="s">
        <v>110</v>
      </c>
      <c r="G1" s="4" t="s">
        <v>109</v>
      </c>
      <c r="H1" s="4" t="s">
        <v>34</v>
      </c>
      <c r="I1" s="4" t="s">
        <v>190</v>
      </c>
      <c r="J1" s="4" t="s">
        <v>31</v>
      </c>
      <c r="K1" s="4" t="s">
        <v>30</v>
      </c>
      <c r="L1" s="4" t="s">
        <v>90</v>
      </c>
      <c r="M1" s="4" t="s">
        <v>193</v>
      </c>
      <c r="N1" s="5" t="s">
        <v>66</v>
      </c>
      <c r="O1" s="5" t="s">
        <v>61</v>
      </c>
      <c r="P1" s="5" t="s">
        <v>65</v>
      </c>
      <c r="Q1" s="5" t="s">
        <v>60</v>
      </c>
      <c r="R1" t="s">
        <v>239</v>
      </c>
      <c r="S1" s="5" t="s">
        <v>241</v>
      </c>
      <c r="T1" s="5" t="s">
        <v>216</v>
      </c>
      <c r="U1" s="5" t="s">
        <v>229</v>
      </c>
      <c r="V1" s="5" t="s">
        <v>220</v>
      </c>
      <c r="W1" s="5" t="s">
        <v>221</v>
      </c>
      <c r="X1" s="5" t="s">
        <v>267</v>
      </c>
      <c r="Y1" t="s">
        <v>246</v>
      </c>
      <c r="Z1" s="4" t="s">
        <v>30</v>
      </c>
      <c r="AA1" s="5" t="s">
        <v>183</v>
      </c>
      <c r="AB1" s="5" t="s">
        <v>184</v>
      </c>
      <c r="AC1" s="5" t="s">
        <v>185</v>
      </c>
      <c r="AD1" s="5" t="s">
        <v>186</v>
      </c>
      <c r="AE1" s="6" t="s">
        <v>91</v>
      </c>
      <c r="AF1" s="6" t="s">
        <v>137</v>
      </c>
      <c r="AG1" s="6" t="s">
        <v>71</v>
      </c>
      <c r="AH1" s="6" t="s">
        <v>180</v>
      </c>
      <c r="AI1" s="6" t="s">
        <v>181</v>
      </c>
      <c r="AJ1" s="6" t="s">
        <v>182</v>
      </c>
      <c r="AK1" s="4" t="s">
        <v>268</v>
      </c>
      <c r="AL1" s="7" t="s">
        <v>72</v>
      </c>
      <c r="AM1" s="7" t="s">
        <v>188</v>
      </c>
      <c r="AN1" s="7" t="s">
        <v>33</v>
      </c>
      <c r="AO1" s="7" t="s">
        <v>3</v>
      </c>
      <c r="AP1" s="7" t="s">
        <v>4</v>
      </c>
      <c r="AQ1" s="7" t="s">
        <v>5</v>
      </c>
      <c r="AR1" s="7" t="s">
        <v>6</v>
      </c>
      <c r="AS1" s="7" t="s">
        <v>7</v>
      </c>
      <c r="AT1" s="4" t="s">
        <v>8</v>
      </c>
      <c r="AU1" s="4" t="s">
        <v>9</v>
      </c>
      <c r="AV1" s="4" t="s">
        <v>124</v>
      </c>
      <c r="AW1" s="4" t="s">
        <v>230</v>
      </c>
      <c r="AX1" s="4" t="s">
        <v>10</v>
      </c>
      <c r="AY1" s="4" t="s">
        <v>219</v>
      </c>
      <c r="AZ1" s="4" t="s">
        <v>250</v>
      </c>
      <c r="BA1" s="4" t="s">
        <v>107</v>
      </c>
      <c r="BB1" s="4" t="s">
        <v>300</v>
      </c>
    </row>
    <row r="2" spans="1:54" x14ac:dyDescent="0.2">
      <c r="A2" t="s">
        <v>13</v>
      </c>
      <c r="B2">
        <v>1</v>
      </c>
      <c r="C2">
        <v>2006</v>
      </c>
      <c r="D2" t="s">
        <v>11</v>
      </c>
      <c r="E2" t="s">
        <v>20</v>
      </c>
      <c r="F2">
        <v>122</v>
      </c>
      <c r="G2">
        <v>129</v>
      </c>
      <c r="H2">
        <v>6</v>
      </c>
      <c r="I2" t="s">
        <v>191</v>
      </c>
      <c r="J2" t="s">
        <v>32</v>
      </c>
      <c r="K2" t="s">
        <v>25</v>
      </c>
      <c r="L2">
        <v>53.7</v>
      </c>
      <c r="M2">
        <f>((N2*G2)+(P2*F2))/(G2+F2)</f>
        <v>11.625099601593623</v>
      </c>
      <c r="N2" s="2">
        <v>12.5</v>
      </c>
      <c r="O2" s="2">
        <v>7.3</v>
      </c>
      <c r="P2" s="2">
        <v>10.7</v>
      </c>
      <c r="Q2" s="2">
        <v>5.88</v>
      </c>
      <c r="T2" s="2">
        <v>12</v>
      </c>
      <c r="U2" s="2">
        <v>10</v>
      </c>
      <c r="V2" s="2">
        <v>13</v>
      </c>
      <c r="W2" s="5"/>
      <c r="X2" s="2">
        <v>20</v>
      </c>
      <c r="Y2" t="s">
        <v>260</v>
      </c>
      <c r="Z2" t="s">
        <v>25</v>
      </c>
      <c r="AA2" s="2">
        <v>10.88</v>
      </c>
      <c r="AB2" s="2" t="s">
        <v>93</v>
      </c>
      <c r="AC2" s="2">
        <v>9.2200000000000006</v>
      </c>
      <c r="AD2" s="2" t="s">
        <v>92</v>
      </c>
      <c r="AE2" s="1">
        <f>(-1.62)-(-1.48)</f>
        <v>-0.14000000000000012</v>
      </c>
      <c r="AF2" s="1">
        <f>SQRT( ((1.55^2)/G2) + ((1.55^2)/F2) )</f>
        <v>0.19574640215996722</v>
      </c>
      <c r="AG2" s="1" t="s">
        <v>94</v>
      </c>
      <c r="AH2" s="1"/>
      <c r="AI2" s="1"/>
      <c r="AJ2" s="1" t="s">
        <v>283</v>
      </c>
      <c r="AK2" t="s">
        <v>38</v>
      </c>
      <c r="AL2" s="3" t="s">
        <v>111</v>
      </c>
      <c r="AM2" s="3" t="s">
        <v>38</v>
      </c>
      <c r="AN2" s="3" t="s">
        <v>95</v>
      </c>
      <c r="AO2" s="3" t="s">
        <v>44</v>
      </c>
      <c r="AP2" s="3" t="s">
        <v>12</v>
      </c>
      <c r="AQ2" s="3" t="s">
        <v>43</v>
      </c>
      <c r="AR2" s="3" t="s">
        <v>35</v>
      </c>
      <c r="AS2" s="3" t="s">
        <v>88</v>
      </c>
      <c r="AT2" t="s">
        <v>96</v>
      </c>
      <c r="AU2" t="s">
        <v>89</v>
      </c>
      <c r="AV2" t="s">
        <v>80</v>
      </c>
      <c r="AW2">
        <v>90</v>
      </c>
      <c r="AX2" t="s">
        <v>97</v>
      </c>
      <c r="AY2" t="s">
        <v>106</v>
      </c>
      <c r="AZ2" t="s">
        <v>251</v>
      </c>
      <c r="BB2" t="s">
        <v>38</v>
      </c>
    </row>
    <row r="3" spans="1:54" s="17" customFormat="1" x14ac:dyDescent="0.2">
      <c r="A3" s="17" t="s">
        <v>14</v>
      </c>
      <c r="B3" s="17">
        <v>2</v>
      </c>
      <c r="C3" s="17">
        <v>2006</v>
      </c>
      <c r="D3" s="17" t="s">
        <v>11</v>
      </c>
      <c r="E3" s="17" t="s">
        <v>21</v>
      </c>
      <c r="F3" s="17">
        <v>68</v>
      </c>
      <c r="G3" s="17">
        <v>66</v>
      </c>
      <c r="H3" s="17">
        <v>4</v>
      </c>
      <c r="I3" s="17" t="s">
        <v>191</v>
      </c>
      <c r="J3" s="17" t="s">
        <v>32</v>
      </c>
      <c r="K3" s="17" t="s">
        <v>24</v>
      </c>
      <c r="L3" s="17" t="s">
        <v>98</v>
      </c>
      <c r="M3" s="17">
        <v>12.05</v>
      </c>
      <c r="N3" s="18" t="s">
        <v>32</v>
      </c>
      <c r="O3" s="18" t="s">
        <v>32</v>
      </c>
      <c r="P3" s="18" t="s">
        <v>32</v>
      </c>
      <c r="Q3" s="18" t="s">
        <v>32</v>
      </c>
      <c r="T3" s="18">
        <v>70</v>
      </c>
      <c r="U3" s="18">
        <v>21</v>
      </c>
      <c r="V3" s="18"/>
      <c r="W3" s="18">
        <v>15</v>
      </c>
      <c r="X3" s="18">
        <v>21</v>
      </c>
      <c r="Y3" s="17" t="s">
        <v>261</v>
      </c>
      <c r="Z3" s="17" t="s">
        <v>24</v>
      </c>
      <c r="AA3" s="18">
        <v>12.1</v>
      </c>
      <c r="AB3" s="18">
        <v>5.7750000000000004</v>
      </c>
      <c r="AC3" s="18">
        <v>12</v>
      </c>
      <c r="AD3" s="18">
        <v>5.4249999999999998</v>
      </c>
      <c r="AE3" s="1">
        <f>AA3-AC3</f>
        <v>9.9999999999999645E-2</v>
      </c>
      <c r="AF3" s="9">
        <f>SQRT( ((AB3^2)/G3) + ((AD3^2)/F3) )</f>
        <v>0.96856378665709442</v>
      </c>
      <c r="AG3" s="1">
        <f t="shared" ref="AG3:AG8" si="0">_xlfn.T.DIST.2T(ABS(AE3/AF3), F3+G3-2)</f>
        <v>0.91792470122087533</v>
      </c>
      <c r="AJ3" s="17" t="s">
        <v>299</v>
      </c>
      <c r="AK3" s="17" t="s">
        <v>281</v>
      </c>
      <c r="AL3" s="19" t="s">
        <v>112</v>
      </c>
      <c r="AM3" s="19" t="s">
        <v>38</v>
      </c>
      <c r="AN3" s="19" t="s">
        <v>46</v>
      </c>
      <c r="AO3" s="19" t="s">
        <v>99</v>
      </c>
      <c r="AP3" s="19" t="s">
        <v>12</v>
      </c>
      <c r="AQ3" s="19" t="s">
        <v>100</v>
      </c>
      <c r="AR3" s="19" t="s">
        <v>101</v>
      </c>
      <c r="AS3" s="19" t="s">
        <v>88</v>
      </c>
      <c r="AT3" s="17" t="s">
        <v>102</v>
      </c>
      <c r="AU3" s="17" t="s">
        <v>103</v>
      </c>
      <c r="AV3" s="17" t="s">
        <v>117</v>
      </c>
      <c r="AW3" s="17">
        <v>80</v>
      </c>
      <c r="AX3" s="17" t="s">
        <v>104</v>
      </c>
      <c r="AY3" s="17" t="s">
        <v>105</v>
      </c>
      <c r="AZ3" s="17" t="s">
        <v>259</v>
      </c>
      <c r="BA3" s="17" t="s">
        <v>108</v>
      </c>
    </row>
    <row r="4" spans="1:54" s="17" customFormat="1" ht="17" customHeight="1" x14ac:dyDescent="0.2">
      <c r="A4" s="17" t="s">
        <v>14</v>
      </c>
      <c r="B4" s="17">
        <v>2</v>
      </c>
      <c r="C4" s="17">
        <v>2006</v>
      </c>
      <c r="D4" s="17" t="s">
        <v>11</v>
      </c>
      <c r="E4" s="17" t="s">
        <v>21</v>
      </c>
      <c r="F4" s="17">
        <v>68</v>
      </c>
      <c r="G4" s="17">
        <v>66</v>
      </c>
      <c r="H4" s="17">
        <v>4</v>
      </c>
      <c r="I4" s="17" t="s">
        <v>191</v>
      </c>
      <c r="J4" s="17" t="s">
        <v>32</v>
      </c>
      <c r="K4" s="17" t="s">
        <v>24</v>
      </c>
      <c r="L4" s="17" t="s">
        <v>98</v>
      </c>
      <c r="M4" s="17">
        <v>12.05</v>
      </c>
      <c r="N4" s="18" t="s">
        <v>32</v>
      </c>
      <c r="O4" s="18" t="s">
        <v>32</v>
      </c>
      <c r="P4" s="18" t="s">
        <v>32</v>
      </c>
      <c r="Q4" s="18" t="s">
        <v>32</v>
      </c>
      <c r="T4" s="18">
        <v>70</v>
      </c>
      <c r="U4" s="18">
        <v>21</v>
      </c>
      <c r="V4" s="18"/>
      <c r="W4" s="18">
        <v>15</v>
      </c>
      <c r="X4" s="18">
        <v>21</v>
      </c>
      <c r="Y4" s="17" t="s">
        <v>261</v>
      </c>
      <c r="Z4" s="17" t="s">
        <v>24</v>
      </c>
      <c r="AA4" s="18">
        <v>8.1</v>
      </c>
      <c r="AB4" s="18">
        <v>4.7</v>
      </c>
      <c r="AC4" s="18">
        <v>10.199999999999999</v>
      </c>
      <c r="AD4" s="18">
        <v>5.2249999999999996</v>
      </c>
      <c r="AE4" s="17">
        <f>AA4-AC4</f>
        <v>-2.0999999999999996</v>
      </c>
      <c r="AF4" s="17">
        <f>SQRT( (((3/1.349)^2/G4) + (((5/1.349)^2/F4))))</f>
        <v>0.52626916716168137</v>
      </c>
      <c r="AG4" s="1">
        <f t="shared" si="0"/>
        <v>1.088234674150963E-4</v>
      </c>
      <c r="AJ4" s="17" t="s">
        <v>299</v>
      </c>
      <c r="AK4" s="17" t="s">
        <v>282</v>
      </c>
      <c r="AL4" s="19" t="s">
        <v>112</v>
      </c>
      <c r="AM4" s="19" t="s">
        <v>38</v>
      </c>
      <c r="AN4" s="19" t="s">
        <v>46</v>
      </c>
      <c r="AO4" s="19" t="s">
        <v>99</v>
      </c>
      <c r="AP4" s="19" t="s">
        <v>12</v>
      </c>
      <c r="AQ4" s="19" t="s">
        <v>100</v>
      </c>
      <c r="AR4" s="19" t="s">
        <v>101</v>
      </c>
      <c r="AS4" s="19" t="s">
        <v>88</v>
      </c>
      <c r="AT4" s="17" t="s">
        <v>102</v>
      </c>
      <c r="AU4" s="17" t="s">
        <v>103</v>
      </c>
      <c r="AV4" s="17" t="s">
        <v>117</v>
      </c>
      <c r="AW4" s="17">
        <v>80</v>
      </c>
      <c r="AX4" s="17" t="s">
        <v>104</v>
      </c>
      <c r="AY4" s="17" t="s">
        <v>105</v>
      </c>
      <c r="AZ4" s="17" t="s">
        <v>259</v>
      </c>
      <c r="BA4" s="17" t="s">
        <v>108</v>
      </c>
    </row>
    <row r="5" spans="1:54" x14ac:dyDescent="0.2">
      <c r="A5" t="s">
        <v>15</v>
      </c>
      <c r="B5">
        <v>3</v>
      </c>
      <c r="C5">
        <v>2004</v>
      </c>
      <c r="D5" t="s">
        <v>11</v>
      </c>
      <c r="E5" t="s">
        <v>22</v>
      </c>
      <c r="F5">
        <v>32</v>
      </c>
      <c r="G5">
        <v>35</v>
      </c>
      <c r="H5">
        <v>6</v>
      </c>
      <c r="I5" t="s">
        <v>191</v>
      </c>
      <c r="J5" t="s">
        <v>32</v>
      </c>
      <c r="K5" t="s">
        <v>27</v>
      </c>
      <c r="L5" t="s">
        <v>84</v>
      </c>
      <c r="M5">
        <f>((N5*G5)+(P5*F5))/(G5+F5)</f>
        <v>21.034328358208956</v>
      </c>
      <c r="N5" s="2">
        <v>20.7</v>
      </c>
      <c r="O5" s="2">
        <v>5.8</v>
      </c>
      <c r="P5" s="2">
        <v>21.4</v>
      </c>
      <c r="Q5" s="2">
        <v>8.6999999999999993</v>
      </c>
      <c r="R5">
        <f>(1108*35+32*973)/(32+35)</f>
        <v>1043.5223880597016</v>
      </c>
      <c r="S5" s="2" t="s">
        <v>242</v>
      </c>
      <c r="T5" s="2">
        <v>0</v>
      </c>
      <c r="U5" s="2">
        <v>0</v>
      </c>
      <c r="V5" s="2">
        <v>12</v>
      </c>
      <c r="W5">
        <v>30</v>
      </c>
      <c r="X5" s="2">
        <v>0</v>
      </c>
      <c r="Y5" t="s">
        <v>263</v>
      </c>
      <c r="Z5" t="s">
        <v>27</v>
      </c>
      <c r="AA5" s="2">
        <v>15.1</v>
      </c>
      <c r="AB5" s="2">
        <v>6.3</v>
      </c>
      <c r="AC5" s="2">
        <v>16.600000000000001</v>
      </c>
      <c r="AD5" s="2">
        <v>7.2</v>
      </c>
      <c r="AE5" s="1">
        <f>(AA5-N5)-(AC5-P5)</f>
        <v>-0.80000000000000249</v>
      </c>
      <c r="AF5" s="9">
        <f>SQRT( ((AB5^2+O5^2-2*0.5*AB5*O5)/G5) + ((AD5^2+Q5^2-2*0.5*AD5*Q5)/F5) )</f>
        <v>1.75469523198271</v>
      </c>
      <c r="AG5" s="1">
        <f t="shared" si="0"/>
        <v>0.64996736418479761</v>
      </c>
      <c r="AH5" s="1"/>
      <c r="AI5" s="1"/>
      <c r="AJ5" s="1" t="s">
        <v>297</v>
      </c>
      <c r="AK5" t="s">
        <v>292</v>
      </c>
      <c r="AL5" s="3" t="s">
        <v>121</v>
      </c>
      <c r="AM5" s="3" t="s">
        <v>189</v>
      </c>
      <c r="AN5" s="3" t="s">
        <v>113</v>
      </c>
      <c r="AO5" s="3" t="s">
        <v>40</v>
      </c>
      <c r="AP5" s="3" t="s">
        <v>41</v>
      </c>
      <c r="AQ5" s="3" t="s">
        <v>114</v>
      </c>
      <c r="AR5" s="3" t="s">
        <v>35</v>
      </c>
      <c r="AS5" s="3" t="s">
        <v>115</v>
      </c>
      <c r="AT5" t="s">
        <v>119</v>
      </c>
      <c r="AU5" t="s">
        <v>116</v>
      </c>
      <c r="AV5" t="s">
        <v>118</v>
      </c>
      <c r="AW5">
        <v>80</v>
      </c>
      <c r="AX5" s="21" t="s">
        <v>278</v>
      </c>
      <c r="AY5" t="s">
        <v>120</v>
      </c>
      <c r="AZ5" t="s">
        <v>247</v>
      </c>
      <c r="BA5" t="s">
        <v>293</v>
      </c>
      <c r="BB5" t="s">
        <v>41</v>
      </c>
    </row>
    <row r="6" spans="1:54" x14ac:dyDescent="0.2">
      <c r="A6" t="s">
        <v>15</v>
      </c>
      <c r="B6">
        <v>3</v>
      </c>
      <c r="C6">
        <v>2004</v>
      </c>
      <c r="D6" t="s">
        <v>11</v>
      </c>
      <c r="E6" t="s">
        <v>22</v>
      </c>
      <c r="F6">
        <v>24</v>
      </c>
      <c r="G6">
        <v>34</v>
      </c>
      <c r="H6">
        <v>6</v>
      </c>
      <c r="I6" t="s">
        <v>191</v>
      </c>
      <c r="J6" t="s">
        <v>32</v>
      </c>
      <c r="K6" t="s">
        <v>27</v>
      </c>
      <c r="L6" t="s">
        <v>84</v>
      </c>
      <c r="M6">
        <f>((N6*G6)+(P6*F6))/(G6+F6)</f>
        <v>20.989655172413791</v>
      </c>
      <c r="N6" s="2">
        <v>20.7</v>
      </c>
      <c r="O6" s="2">
        <v>5.8</v>
      </c>
      <c r="P6" s="2">
        <v>21.4</v>
      </c>
      <c r="Q6" s="2">
        <v>8.6999999999999993</v>
      </c>
      <c r="R6">
        <f>(1108*35+32*973)/(32+35)</f>
        <v>1043.5223880597016</v>
      </c>
      <c r="S6" s="2" t="s">
        <v>242</v>
      </c>
      <c r="T6" s="2">
        <v>0</v>
      </c>
      <c r="U6" s="2">
        <v>0</v>
      </c>
      <c r="V6" s="2">
        <v>12</v>
      </c>
      <c r="W6">
        <v>30</v>
      </c>
      <c r="X6" s="2">
        <v>0</v>
      </c>
      <c r="Y6" t="s">
        <v>263</v>
      </c>
      <c r="Z6" t="s">
        <v>27</v>
      </c>
      <c r="AA6" s="2">
        <v>14</v>
      </c>
      <c r="AB6" s="2">
        <v>7.2</v>
      </c>
      <c r="AC6" s="2">
        <v>14.4</v>
      </c>
      <c r="AD6" s="2">
        <v>6.8</v>
      </c>
      <c r="AE6" s="1">
        <f>(AA6-N6)-(AC6-P6)</f>
        <v>0.29999999999999893</v>
      </c>
      <c r="AF6" s="9">
        <f>SQRT( ((AB6^2+O6^2-2*0.5*AB6*O6)/G6) + ((AD6^2+Q6^2-2*0.5*AD6*Q6)/F6) )</f>
        <v>1.9751706305045755</v>
      </c>
      <c r="AG6" s="1">
        <f t="shared" si="0"/>
        <v>0.87982303616155022</v>
      </c>
      <c r="AH6" s="1"/>
      <c r="AI6" s="1"/>
      <c r="AJ6" s="1" t="s">
        <v>297</v>
      </c>
      <c r="AK6" t="s">
        <v>291</v>
      </c>
      <c r="AL6" s="3" t="s">
        <v>121</v>
      </c>
      <c r="AM6" s="3" t="s">
        <v>189</v>
      </c>
      <c r="AN6" s="3" t="s">
        <v>113</v>
      </c>
      <c r="AO6" s="3" t="s">
        <v>40</v>
      </c>
      <c r="AP6" s="3" t="s">
        <v>295</v>
      </c>
      <c r="AQ6" s="3" t="s">
        <v>114</v>
      </c>
      <c r="AR6" s="3" t="s">
        <v>35</v>
      </c>
      <c r="AS6" s="3" t="s">
        <v>115</v>
      </c>
      <c r="AT6" t="s">
        <v>119</v>
      </c>
      <c r="AU6" t="s">
        <v>116</v>
      </c>
      <c r="AV6" t="s">
        <v>118</v>
      </c>
      <c r="AW6">
        <v>80</v>
      </c>
      <c r="AX6" s="21" t="s">
        <v>278</v>
      </c>
      <c r="AY6" t="s">
        <v>120</v>
      </c>
      <c r="AZ6" t="s">
        <v>247</v>
      </c>
      <c r="BA6" t="s">
        <v>294</v>
      </c>
      <c r="BB6" t="s">
        <v>12</v>
      </c>
    </row>
    <row r="7" spans="1:54" ht="17" customHeight="1" x14ac:dyDescent="0.2">
      <c r="A7" t="s">
        <v>16</v>
      </c>
      <c r="B7">
        <v>4</v>
      </c>
      <c r="C7">
        <v>1999</v>
      </c>
      <c r="D7" t="s">
        <v>11</v>
      </c>
      <c r="E7" t="s">
        <v>22</v>
      </c>
      <c r="F7">
        <v>45</v>
      </c>
      <c r="G7">
        <v>44</v>
      </c>
      <c r="H7">
        <v>4</v>
      </c>
      <c r="I7" t="s">
        <v>191</v>
      </c>
      <c r="J7" t="s">
        <v>32</v>
      </c>
      <c r="K7" t="s">
        <v>28</v>
      </c>
      <c r="L7" t="s">
        <v>84</v>
      </c>
      <c r="M7">
        <f>((N7*G7)+(P7*F7))/(G7+F7)</f>
        <v>2.4863999999999997</v>
      </c>
      <c r="N7" s="2">
        <v>2.4863999999999997</v>
      </c>
      <c r="O7" s="2">
        <v>1.4504000000000001</v>
      </c>
      <c r="P7" s="2">
        <v>2.4863999999999997</v>
      </c>
      <c r="Q7" s="2">
        <v>1.4504000000000001</v>
      </c>
      <c r="R7">
        <v>477</v>
      </c>
      <c r="S7" s="2" t="s">
        <v>243</v>
      </c>
      <c r="V7" s="2"/>
      <c r="W7" s="2">
        <v>57.5</v>
      </c>
      <c r="X7" s="16">
        <v>0</v>
      </c>
      <c r="Y7" t="s">
        <v>262</v>
      </c>
      <c r="Z7" t="s">
        <v>28</v>
      </c>
      <c r="AA7" s="2">
        <v>3.5224000000000002</v>
      </c>
      <c r="AB7" s="2">
        <v>1.6576</v>
      </c>
      <c r="AC7" s="2">
        <v>4.5583999999999998</v>
      </c>
      <c r="AD7" s="2">
        <v>2.2791999999999999</v>
      </c>
      <c r="AE7" s="1">
        <f>(0.04-0.07)/0.04826</f>
        <v>-0.62163282221301297</v>
      </c>
      <c r="AF7" s="1">
        <f>SQRT( ((0.09^2)/G7) + ((0.1^2)/F7) ) /0.04826</f>
        <v>0.41767945306759113</v>
      </c>
      <c r="AG7" s="1">
        <f t="shared" si="0"/>
        <v>0.14028736663569252</v>
      </c>
      <c r="AH7" s="1"/>
      <c r="AI7" s="1"/>
      <c r="AJ7" s="1" t="s">
        <v>296</v>
      </c>
      <c r="AK7" t="s">
        <v>269</v>
      </c>
      <c r="AL7" s="3" t="s">
        <v>130</v>
      </c>
      <c r="AM7" s="3" t="s">
        <v>189</v>
      </c>
      <c r="AN7" s="3" t="s">
        <v>45</v>
      </c>
      <c r="AO7" s="3" t="s">
        <v>129</v>
      </c>
      <c r="AP7" s="3" t="s">
        <v>122</v>
      </c>
      <c r="AQ7" s="3" t="s">
        <v>47</v>
      </c>
      <c r="AR7" s="3" t="s">
        <v>36</v>
      </c>
      <c r="AS7" s="3" t="s">
        <v>238</v>
      </c>
      <c r="AT7" t="s">
        <v>125</v>
      </c>
      <c r="AU7" t="s">
        <v>126</v>
      </c>
      <c r="AV7" t="s">
        <v>123</v>
      </c>
      <c r="AW7">
        <v>83</v>
      </c>
      <c r="AX7" t="s">
        <v>127</v>
      </c>
      <c r="AZ7" t="s">
        <v>248</v>
      </c>
      <c r="BA7" t="s">
        <v>249</v>
      </c>
      <c r="BB7" t="s">
        <v>138</v>
      </c>
    </row>
    <row r="8" spans="1:54" ht="18" customHeight="1" x14ac:dyDescent="0.2">
      <c r="A8" t="s">
        <v>16</v>
      </c>
      <c r="B8">
        <v>4</v>
      </c>
      <c r="C8">
        <v>1999</v>
      </c>
      <c r="D8" t="s">
        <v>11</v>
      </c>
      <c r="E8" t="s">
        <v>22</v>
      </c>
      <c r="F8">
        <v>41</v>
      </c>
      <c r="G8">
        <v>40</v>
      </c>
      <c r="H8">
        <v>9</v>
      </c>
      <c r="I8" t="s">
        <v>191</v>
      </c>
      <c r="J8" t="s">
        <v>32</v>
      </c>
      <c r="K8" t="s">
        <v>28</v>
      </c>
      <c r="L8" t="s">
        <v>84</v>
      </c>
      <c r="M8">
        <f>((N8*G8)+(P8*F8))/(G8+F8)</f>
        <v>2.4863999999999997</v>
      </c>
      <c r="N8" s="2">
        <v>2.4863999999999997</v>
      </c>
      <c r="O8" s="2">
        <v>1.4504000000000001</v>
      </c>
      <c r="P8" s="2">
        <v>2.4863999999999997</v>
      </c>
      <c r="Q8" s="2">
        <v>1.4504000000000001</v>
      </c>
      <c r="R8">
        <v>477</v>
      </c>
      <c r="S8" s="2" t="s">
        <v>243</v>
      </c>
      <c r="V8" s="2"/>
      <c r="W8" s="2">
        <v>57.5</v>
      </c>
      <c r="X8" s="16">
        <v>0</v>
      </c>
      <c r="Y8" t="s">
        <v>262</v>
      </c>
      <c r="Z8" t="s">
        <v>28</v>
      </c>
      <c r="AA8" s="2">
        <v>4.7656000000000001</v>
      </c>
      <c r="AB8" s="2">
        <v>3.5224000000000002</v>
      </c>
      <c r="AC8" s="2">
        <v>4.9727999999999994</v>
      </c>
      <c r="AD8" s="2">
        <v>2.6936</v>
      </c>
      <c r="AE8" s="1">
        <f>(0.1-0.12)/0.04826</f>
        <v>-0.4144218814753417</v>
      </c>
      <c r="AF8" s="1">
        <f>SQRT( ((0.13^2)/G8) + ((0.18^2)/F8) ) /0.04826</f>
        <v>0.72160117595884044</v>
      </c>
      <c r="AG8" s="1">
        <f t="shared" si="0"/>
        <v>0.56739061569663929</v>
      </c>
      <c r="AH8" s="1"/>
      <c r="AI8" s="1"/>
      <c r="AJ8" s="1" t="s">
        <v>296</v>
      </c>
      <c r="AK8" t="s">
        <v>270</v>
      </c>
      <c r="AL8" s="3" t="s">
        <v>130</v>
      </c>
      <c r="AM8" s="3" t="s">
        <v>189</v>
      </c>
      <c r="AN8" s="3" t="s">
        <v>45</v>
      </c>
      <c r="AO8" s="3" t="s">
        <v>128</v>
      </c>
      <c r="AP8" s="3" t="s">
        <v>49</v>
      </c>
      <c r="AQ8" s="3" t="s">
        <v>47</v>
      </c>
      <c r="AR8" s="3" t="s">
        <v>36</v>
      </c>
      <c r="AS8" s="3" t="s">
        <v>238</v>
      </c>
      <c r="AT8" t="s">
        <v>125</v>
      </c>
      <c r="AU8" t="s">
        <v>126</v>
      </c>
      <c r="AV8" t="s">
        <v>123</v>
      </c>
      <c r="AW8">
        <v>83</v>
      </c>
      <c r="AX8" t="s">
        <v>127</v>
      </c>
      <c r="AZ8" t="s">
        <v>248</v>
      </c>
      <c r="BA8" t="s">
        <v>249</v>
      </c>
      <c r="BB8" t="s">
        <v>139</v>
      </c>
    </row>
    <row r="9" spans="1:54" x14ac:dyDescent="0.2">
      <c r="A9" t="s">
        <v>17</v>
      </c>
      <c r="B9">
        <v>5</v>
      </c>
      <c r="C9">
        <v>2003</v>
      </c>
      <c r="D9" t="s">
        <v>11</v>
      </c>
      <c r="E9" t="s">
        <v>20</v>
      </c>
      <c r="F9">
        <f>617*0.52</f>
        <v>320.84000000000003</v>
      </c>
      <c r="G9">
        <f>617*0.48</f>
        <v>296.15999999999997</v>
      </c>
      <c r="H9">
        <v>3</v>
      </c>
      <c r="I9" t="s">
        <v>192</v>
      </c>
      <c r="J9" t="s">
        <v>136</v>
      </c>
      <c r="K9" t="s">
        <v>133</v>
      </c>
      <c r="L9" t="s">
        <v>134</v>
      </c>
      <c r="M9">
        <f>((N9*G9)+(P9*F9))/(G9+F9)</f>
        <v>9.3040000000000003</v>
      </c>
      <c r="N9" s="2">
        <v>9.1999999999999993</v>
      </c>
      <c r="O9" s="2">
        <v>4.2</v>
      </c>
      <c r="P9" s="2">
        <v>9.4</v>
      </c>
      <c r="Q9" s="2">
        <v>5</v>
      </c>
      <c r="R9">
        <v>1137</v>
      </c>
      <c r="S9" s="2" t="s">
        <v>217</v>
      </c>
      <c r="X9">
        <v>20</v>
      </c>
      <c r="Y9" t="s">
        <v>262</v>
      </c>
      <c r="Z9" t="s">
        <v>133</v>
      </c>
      <c r="AA9" s="2" t="s">
        <v>74</v>
      </c>
      <c r="AB9" s="2" t="s">
        <v>74</v>
      </c>
      <c r="AC9" s="2" t="s">
        <v>74</v>
      </c>
      <c r="AD9" s="2" t="s">
        <v>74</v>
      </c>
      <c r="AE9" s="1">
        <v>-0.12</v>
      </c>
      <c r="AF9" s="1">
        <f xml:space="preserve"> (0.46--0.71)/(2*1.96)</f>
        <v>0.29846938775510201</v>
      </c>
      <c r="AG9" s="1"/>
      <c r="AH9" s="1">
        <v>-0.71</v>
      </c>
      <c r="AI9" s="1">
        <v>0.46</v>
      </c>
      <c r="AJ9" s="1" t="s">
        <v>288</v>
      </c>
      <c r="AK9" t="s">
        <v>271</v>
      </c>
      <c r="AL9" s="3" t="s">
        <v>141</v>
      </c>
      <c r="AM9" s="3" t="s">
        <v>189</v>
      </c>
      <c r="AN9" s="3" t="s">
        <v>48</v>
      </c>
      <c r="AO9" s="3" t="s">
        <v>53</v>
      </c>
      <c r="AP9" s="3" t="s">
        <v>135</v>
      </c>
      <c r="AQ9" s="3" t="s">
        <v>132</v>
      </c>
      <c r="AR9" s="3" t="s">
        <v>35</v>
      </c>
      <c r="AS9" s="3" t="s">
        <v>145</v>
      </c>
      <c r="AT9" t="s">
        <v>142</v>
      </c>
      <c r="AU9" t="s">
        <v>89</v>
      </c>
      <c r="AV9" t="s">
        <v>143</v>
      </c>
      <c r="AW9">
        <v>83</v>
      </c>
      <c r="AX9" t="s">
        <v>131</v>
      </c>
      <c r="AY9" t="s">
        <v>32</v>
      </c>
      <c r="AZ9" t="s">
        <v>252</v>
      </c>
      <c r="BA9" t="s">
        <v>224</v>
      </c>
      <c r="BB9" t="s">
        <v>140</v>
      </c>
    </row>
    <row r="10" spans="1:54" x14ac:dyDescent="0.2">
      <c r="A10" t="s">
        <v>17</v>
      </c>
      <c r="B10">
        <v>5</v>
      </c>
      <c r="C10">
        <v>2003</v>
      </c>
      <c r="D10" t="s">
        <v>11</v>
      </c>
      <c r="E10" t="s">
        <v>20</v>
      </c>
      <c r="F10">
        <f>617*0.52</f>
        <v>320.84000000000003</v>
      </c>
      <c r="G10">
        <f>617*0.48</f>
        <v>296.15999999999997</v>
      </c>
      <c r="H10">
        <v>6</v>
      </c>
      <c r="I10" t="s">
        <v>192</v>
      </c>
      <c r="J10" t="s">
        <v>136</v>
      </c>
      <c r="K10" t="s">
        <v>133</v>
      </c>
      <c r="L10" t="s">
        <v>134</v>
      </c>
      <c r="M10">
        <v>9.3040000000000003</v>
      </c>
      <c r="N10" s="2" t="s">
        <v>74</v>
      </c>
      <c r="O10" s="2" t="s">
        <v>74</v>
      </c>
      <c r="P10" s="2" t="s">
        <v>74</v>
      </c>
      <c r="Q10" s="2" t="s">
        <v>74</v>
      </c>
      <c r="R10">
        <v>1137</v>
      </c>
      <c r="S10" s="2" t="s">
        <v>217</v>
      </c>
      <c r="X10">
        <v>20</v>
      </c>
      <c r="Y10" t="s">
        <v>262</v>
      </c>
      <c r="Z10" t="s">
        <v>133</v>
      </c>
      <c r="AA10" s="2" t="s">
        <v>74</v>
      </c>
      <c r="AB10" s="2" t="s">
        <v>74</v>
      </c>
      <c r="AC10" s="2" t="s">
        <v>74</v>
      </c>
      <c r="AD10" s="2" t="s">
        <v>74</v>
      </c>
      <c r="AE10" s="1">
        <v>-0.22</v>
      </c>
      <c r="AF10" s="1">
        <f>(0.34--0.77)/(2*1.96)</f>
        <v>0.28316326530612246</v>
      </c>
      <c r="AG10" s="1"/>
      <c r="AH10" s="1">
        <v>-0.77</v>
      </c>
      <c r="AI10" s="1">
        <v>0.34</v>
      </c>
      <c r="AJ10" s="1" t="s">
        <v>289</v>
      </c>
      <c r="AK10" t="s">
        <v>272</v>
      </c>
      <c r="AL10" s="3" t="s">
        <v>141</v>
      </c>
      <c r="AM10" s="3" t="s">
        <v>189</v>
      </c>
      <c r="AN10" s="3" t="s">
        <v>48</v>
      </c>
      <c r="AO10" s="3" t="s">
        <v>53</v>
      </c>
      <c r="AP10" s="3" t="s">
        <v>50</v>
      </c>
      <c r="AQ10" s="3" t="s">
        <v>132</v>
      </c>
      <c r="AR10" s="3" t="s">
        <v>35</v>
      </c>
      <c r="AS10" s="3" t="s">
        <v>145</v>
      </c>
      <c r="AT10" t="s">
        <v>142</v>
      </c>
      <c r="AU10" t="s">
        <v>89</v>
      </c>
      <c r="AV10" t="s">
        <v>143</v>
      </c>
      <c r="AW10">
        <v>83</v>
      </c>
      <c r="AX10" t="s">
        <v>74</v>
      </c>
      <c r="AY10" t="s">
        <v>32</v>
      </c>
      <c r="AZ10" t="s">
        <v>252</v>
      </c>
      <c r="BA10" t="s">
        <v>224</v>
      </c>
      <c r="BB10" t="s">
        <v>187</v>
      </c>
    </row>
    <row r="11" spans="1:54" x14ac:dyDescent="0.2">
      <c r="A11" t="s">
        <v>18</v>
      </c>
      <c r="B11">
        <v>6</v>
      </c>
      <c r="C11">
        <v>2009</v>
      </c>
      <c r="D11" t="s">
        <v>11</v>
      </c>
      <c r="E11" t="s">
        <v>20</v>
      </c>
      <c r="F11">
        <v>336</v>
      </c>
      <c r="G11">
        <v>334</v>
      </c>
      <c r="H11">
        <v>3</v>
      </c>
      <c r="I11" t="s">
        <v>192</v>
      </c>
      <c r="J11" t="s">
        <v>29</v>
      </c>
      <c r="K11" t="s">
        <v>32</v>
      </c>
      <c r="L11" t="s">
        <v>134</v>
      </c>
      <c r="M11">
        <f>((N11*G11)+(P11*F11))/(G11+F11)</f>
        <v>3.9504477611940301</v>
      </c>
      <c r="N11" s="2">
        <v>3.8</v>
      </c>
      <c r="O11" s="2">
        <v>2</v>
      </c>
      <c r="P11" s="2">
        <v>4.0999999999999996</v>
      </c>
      <c r="Q11" s="2">
        <v>2</v>
      </c>
      <c r="R11">
        <v>900</v>
      </c>
      <c r="S11" s="2" t="s">
        <v>218</v>
      </c>
      <c r="X11">
        <v>30</v>
      </c>
      <c r="Y11" t="s">
        <v>262</v>
      </c>
      <c r="Z11" t="s">
        <v>32</v>
      </c>
      <c r="AA11" s="2" t="s">
        <v>74</v>
      </c>
      <c r="AB11" s="2" t="s">
        <v>74</v>
      </c>
      <c r="AC11" s="2" t="s">
        <v>74</v>
      </c>
      <c r="AD11" s="2" t="s">
        <v>74</v>
      </c>
      <c r="AE11" s="1">
        <f>-0.14*M11</f>
        <v>-0.55306268656716429</v>
      </c>
      <c r="AF11" s="1">
        <f>(EXP(ABS(-0.15)/_xlfn.NORM.S.INV(1-AG11/2))-1)*M11</f>
        <v>0.18425042867103111</v>
      </c>
      <c r="AG11" s="1">
        <v>1E-3</v>
      </c>
      <c r="AH11" s="1"/>
      <c r="AI11" s="1"/>
      <c r="AJ11" s="1" t="s">
        <v>284</v>
      </c>
      <c r="AK11" t="s">
        <v>276</v>
      </c>
      <c r="AL11" s="3" t="s">
        <v>141</v>
      </c>
      <c r="AM11" s="3" t="s">
        <v>189</v>
      </c>
      <c r="AN11" s="3" t="s">
        <v>48</v>
      </c>
      <c r="AO11" s="3" t="s">
        <v>53</v>
      </c>
      <c r="AP11" s="3" t="s">
        <v>146</v>
      </c>
      <c r="AQ11" s="3" t="s">
        <v>43</v>
      </c>
      <c r="AR11" s="3" t="s">
        <v>35</v>
      </c>
      <c r="AS11" s="3" t="s">
        <v>144</v>
      </c>
      <c r="AT11" t="s">
        <v>150</v>
      </c>
      <c r="AU11" t="s">
        <v>89</v>
      </c>
      <c r="AV11" t="s">
        <v>151</v>
      </c>
      <c r="AW11">
        <v>74</v>
      </c>
      <c r="AX11" t="s">
        <v>152</v>
      </c>
      <c r="AY11" t="s">
        <v>32</v>
      </c>
      <c r="AZ11" t="s">
        <v>253</v>
      </c>
      <c r="BA11" t="s">
        <v>279</v>
      </c>
      <c r="BB11" t="s">
        <v>148</v>
      </c>
    </row>
    <row r="12" spans="1:54" x14ac:dyDescent="0.2">
      <c r="A12" t="s">
        <v>18</v>
      </c>
      <c r="B12">
        <v>6</v>
      </c>
      <c r="C12">
        <v>2009</v>
      </c>
      <c r="D12" t="s">
        <v>11</v>
      </c>
      <c r="E12" t="s">
        <v>20</v>
      </c>
      <c r="F12">
        <v>336</v>
      </c>
      <c r="G12">
        <v>334</v>
      </c>
      <c r="H12">
        <v>3</v>
      </c>
      <c r="I12" t="s">
        <v>192</v>
      </c>
      <c r="J12" t="s">
        <v>29</v>
      </c>
      <c r="K12" t="s">
        <v>32</v>
      </c>
      <c r="L12" t="s">
        <v>134</v>
      </c>
      <c r="M12">
        <f>((N12*G12)+(P12*F12))/(G12+F12)</f>
        <v>3.9504477611940301</v>
      </c>
      <c r="N12" s="2">
        <v>3.8</v>
      </c>
      <c r="O12" s="2">
        <v>2</v>
      </c>
      <c r="P12" s="2">
        <v>4.0999999999999996</v>
      </c>
      <c r="Q12" s="2">
        <v>2</v>
      </c>
      <c r="R12">
        <v>900</v>
      </c>
      <c r="S12" s="2" t="s">
        <v>218</v>
      </c>
      <c r="X12">
        <v>30</v>
      </c>
      <c r="Y12" t="s">
        <v>262</v>
      </c>
      <c r="Z12" t="s">
        <v>32</v>
      </c>
      <c r="AA12" s="2" t="s">
        <v>74</v>
      </c>
      <c r="AB12" s="2" t="s">
        <v>74</v>
      </c>
      <c r="AC12" s="2" t="s">
        <v>74</v>
      </c>
      <c r="AD12" s="2" t="s">
        <v>74</v>
      </c>
      <c r="AE12" s="1">
        <f>-0.08*M12</f>
        <v>-0.3160358208955224</v>
      </c>
      <c r="AF12" s="1">
        <f>(EXP(ABS(-0.08)/_xlfn.NORM.S.INV(1-AG12/2))-1)*M12</f>
        <v>0.20102065050780601</v>
      </c>
      <c r="AG12" s="1">
        <v>0.107</v>
      </c>
      <c r="AH12" s="1"/>
      <c r="AI12" s="1"/>
      <c r="AJ12" s="1" t="s">
        <v>285</v>
      </c>
      <c r="AK12" t="s">
        <v>277</v>
      </c>
      <c r="AL12" s="3" t="s">
        <v>141</v>
      </c>
      <c r="AM12" s="3" t="s">
        <v>189</v>
      </c>
      <c r="AN12" s="3" t="s">
        <v>48</v>
      </c>
      <c r="AO12" s="3" t="s">
        <v>53</v>
      </c>
      <c r="AP12" s="3" t="s">
        <v>147</v>
      </c>
      <c r="AQ12" s="3" t="s">
        <v>43</v>
      </c>
      <c r="AR12" s="3" t="s">
        <v>35</v>
      </c>
      <c r="AS12" s="3" t="s">
        <v>144</v>
      </c>
      <c r="AT12" t="s">
        <v>150</v>
      </c>
      <c r="AU12" t="s">
        <v>89</v>
      </c>
      <c r="AV12" t="s">
        <v>151</v>
      </c>
      <c r="AW12">
        <v>74</v>
      </c>
      <c r="AX12" t="s">
        <v>152</v>
      </c>
      <c r="AY12" t="s">
        <v>32</v>
      </c>
      <c r="AZ12" t="s">
        <v>253</v>
      </c>
      <c r="BA12" t="s">
        <v>279</v>
      </c>
      <c r="BB12" t="s">
        <v>149</v>
      </c>
    </row>
    <row r="13" spans="1:54" x14ac:dyDescent="0.2">
      <c r="A13" t="s">
        <v>56</v>
      </c>
      <c r="B13">
        <v>7</v>
      </c>
      <c r="C13">
        <v>2017</v>
      </c>
      <c r="D13" t="s">
        <v>78</v>
      </c>
      <c r="E13" t="s">
        <v>57</v>
      </c>
      <c r="F13">
        <v>26</v>
      </c>
      <c r="G13">
        <v>30</v>
      </c>
      <c r="H13">
        <v>3</v>
      </c>
      <c r="I13" t="s">
        <v>191</v>
      </c>
      <c r="J13" t="s">
        <v>32</v>
      </c>
      <c r="K13" t="s">
        <v>83</v>
      </c>
      <c r="L13" t="s">
        <v>84</v>
      </c>
      <c r="M13">
        <f>((N13*G13)+(P13*F13))/(G13+F13)</f>
        <v>2.8138928571428572</v>
      </c>
      <c r="N13" s="2">
        <v>3.0529999999999999</v>
      </c>
      <c r="O13" s="2">
        <v>2.6760000000000002</v>
      </c>
      <c r="P13" s="2">
        <v>2.5379999999999998</v>
      </c>
      <c r="Q13" s="2">
        <f>P13*O13/N13</f>
        <v>2.2245948247625287</v>
      </c>
      <c r="R13">
        <v>395</v>
      </c>
      <c r="S13" s="16" t="s">
        <v>240</v>
      </c>
      <c r="V13" s="2">
        <v>13</v>
      </c>
      <c r="W13" s="2"/>
      <c r="X13">
        <v>40</v>
      </c>
      <c r="Y13" t="s">
        <v>262</v>
      </c>
      <c r="Z13" t="s">
        <v>83</v>
      </c>
      <c r="AA13" s="2">
        <v>0.1983</v>
      </c>
      <c r="AB13" s="2">
        <f>AA13*O13/N13</f>
        <v>0.17381290533901084</v>
      </c>
      <c r="AC13" s="2">
        <v>2.4620000000000002</v>
      </c>
      <c r="AD13" s="2">
        <f>AC13*O13/N13</f>
        <v>2.1579796921061254</v>
      </c>
      <c r="AE13" s="1">
        <f>(0.1983-3.053)-(2.462-2.538)</f>
        <v>-2.7787000000000002</v>
      </c>
      <c r="AF13" s="9">
        <f>SQRT( ((AB13^2+O13^2-2*0.5*AB13*O13)/G13) + ((AD13^2+Q13^2-2*0.5*AD13*Q13)/F13) )</f>
        <v>0.63954079509700146</v>
      </c>
      <c r="AG13" s="1">
        <f>_xlfn.T.DIST.2T(ABS(AE13/AF13), F13+G13-2)</f>
        <v>6.1900625989431895E-5</v>
      </c>
      <c r="AH13" s="1"/>
      <c r="AI13" s="1"/>
      <c r="AJ13" s="1" t="s">
        <v>236</v>
      </c>
      <c r="AL13" s="3" t="s">
        <v>86</v>
      </c>
      <c r="AM13" s="3" t="s">
        <v>189</v>
      </c>
      <c r="AN13" s="3" t="s">
        <v>168</v>
      </c>
      <c r="AO13" s="3" t="s">
        <v>62</v>
      </c>
      <c r="AP13" s="3" t="s">
        <v>41</v>
      </c>
      <c r="AQ13" s="3" t="s">
        <v>43</v>
      </c>
      <c r="AR13" s="3" t="s">
        <v>75</v>
      </c>
      <c r="AS13" s="3" t="s">
        <v>88</v>
      </c>
      <c r="AT13" t="s">
        <v>77</v>
      </c>
      <c r="AU13" t="s">
        <v>89</v>
      </c>
      <c r="AV13" t="s">
        <v>80</v>
      </c>
      <c r="AW13">
        <v>82</v>
      </c>
      <c r="AX13">
        <v>9.7000000000000003E-2</v>
      </c>
      <c r="AZ13" t="s">
        <v>254</v>
      </c>
    </row>
    <row r="14" spans="1:54" ht="17" customHeight="1" x14ac:dyDescent="0.2">
      <c r="A14" t="s">
        <v>85</v>
      </c>
      <c r="B14">
        <v>9</v>
      </c>
      <c r="C14">
        <v>2020</v>
      </c>
      <c r="D14" t="s">
        <v>78</v>
      </c>
      <c r="E14" t="s">
        <v>57</v>
      </c>
      <c r="F14">
        <v>25</v>
      </c>
      <c r="G14">
        <v>32</v>
      </c>
      <c r="H14">
        <v>3</v>
      </c>
      <c r="I14" t="s">
        <v>191</v>
      </c>
      <c r="J14" t="s">
        <v>32</v>
      </c>
      <c r="K14" t="s">
        <v>63</v>
      </c>
      <c r="L14" t="s">
        <v>82</v>
      </c>
      <c r="M14">
        <f>((2.1*32)+(2.04*25))/(32+25)</f>
        <v>2.073684210526316</v>
      </c>
      <c r="N14" s="2" t="s">
        <v>64</v>
      </c>
      <c r="O14" s="2" t="s">
        <v>68</v>
      </c>
      <c r="P14" s="2" t="s">
        <v>67</v>
      </c>
      <c r="Q14" s="2" t="s">
        <v>69</v>
      </c>
      <c r="R14">
        <v>395</v>
      </c>
      <c r="S14" s="16" t="s">
        <v>240</v>
      </c>
      <c r="V14">
        <v>13</v>
      </c>
      <c r="X14">
        <v>40</v>
      </c>
      <c r="Y14" t="s">
        <v>262</v>
      </c>
      <c r="Z14" t="s">
        <v>63</v>
      </c>
      <c r="AA14" s="2" t="s">
        <v>234</v>
      </c>
      <c r="AB14" s="2" t="s">
        <v>235</v>
      </c>
      <c r="AC14" s="2">
        <v>2.02</v>
      </c>
      <c r="AD14" s="2" t="s">
        <v>70</v>
      </c>
      <c r="AE14" s="1" t="s">
        <v>231</v>
      </c>
      <c r="AF14" s="1" t="s">
        <v>233</v>
      </c>
      <c r="AG14" s="1" t="s">
        <v>233</v>
      </c>
      <c r="AH14" s="1"/>
      <c r="AI14" s="1"/>
      <c r="AJ14" s="1" t="s">
        <v>232</v>
      </c>
      <c r="AK14" s="1" t="s">
        <v>298</v>
      </c>
      <c r="AL14" s="3" t="s">
        <v>73</v>
      </c>
      <c r="AM14" s="3" t="s">
        <v>189</v>
      </c>
      <c r="AN14" s="3" t="s">
        <v>87</v>
      </c>
      <c r="AO14" s="3" t="s">
        <v>62</v>
      </c>
      <c r="AP14" s="3" t="s">
        <v>41</v>
      </c>
      <c r="AQ14" s="3" t="s">
        <v>43</v>
      </c>
      <c r="AR14" s="3" t="s">
        <v>75</v>
      </c>
      <c r="AS14" s="3" t="s">
        <v>76</v>
      </c>
      <c r="AT14" t="s">
        <v>77</v>
      </c>
      <c r="AU14" t="s">
        <v>79</v>
      </c>
      <c r="AV14" t="s">
        <v>80</v>
      </c>
      <c r="AW14">
        <v>80</v>
      </c>
      <c r="AX14" t="s">
        <v>81</v>
      </c>
      <c r="AZ14" t="s">
        <v>255</v>
      </c>
    </row>
    <row r="15" spans="1:54" x14ac:dyDescent="0.2">
      <c r="A15" t="s">
        <v>58</v>
      </c>
      <c r="B15">
        <v>10</v>
      </c>
      <c r="C15">
        <v>2015</v>
      </c>
      <c r="D15" t="s">
        <v>11</v>
      </c>
      <c r="E15" t="s">
        <v>57</v>
      </c>
      <c r="F15">
        <v>102</v>
      </c>
      <c r="G15">
        <v>92</v>
      </c>
      <c r="H15">
        <v>3</v>
      </c>
      <c r="I15" t="s">
        <v>191</v>
      </c>
      <c r="J15" t="s">
        <v>32</v>
      </c>
      <c r="K15" t="s">
        <v>156</v>
      </c>
      <c r="L15" t="s">
        <v>157</v>
      </c>
      <c r="M15">
        <f>((N15*G15)+(P15*F15))/(G15+F15)</f>
        <v>14.221649484536082</v>
      </c>
      <c r="N15" s="2">
        <v>14.8</v>
      </c>
      <c r="O15" s="2">
        <v>7.5</v>
      </c>
      <c r="P15" s="2">
        <v>13.7</v>
      </c>
      <c r="Q15" s="2">
        <v>7.5</v>
      </c>
      <c r="R15">
        <v>395</v>
      </c>
      <c r="S15" s="16" t="s">
        <v>240</v>
      </c>
      <c r="U15" s="2">
        <v>10</v>
      </c>
      <c r="X15" s="2">
        <v>10</v>
      </c>
      <c r="Y15" t="s">
        <v>264</v>
      </c>
      <c r="Z15" t="s">
        <v>156</v>
      </c>
      <c r="AA15" s="2">
        <v>8.6999999999999993</v>
      </c>
      <c r="AB15" s="2">
        <v>4.5</v>
      </c>
      <c r="AC15" s="2">
        <v>12.1</v>
      </c>
      <c r="AD15" s="2">
        <v>6.8</v>
      </c>
      <c r="AE15" s="1">
        <f>(AA15-N15)-(AC15-P15)</f>
        <v>-4.5000000000000018</v>
      </c>
      <c r="AF15" s="1">
        <f>SQRT( (O15^2+AD15^2-2*0.5*O15*AD15)/F15 + (Q15^2+AB15^2-2*0.5*Q15*AB15)/G15 )</f>
        <v>0.98462065518254571</v>
      </c>
      <c r="AG15" s="1">
        <f>_xlfn.T.DIST.2T(ABS(AE15/AF15), F15+G15-2)</f>
        <v>8.7048363807331497E-6</v>
      </c>
      <c r="AH15" s="1"/>
      <c r="AI15" s="1"/>
      <c r="AJ15" s="1" t="s">
        <v>286</v>
      </c>
      <c r="AK15" t="s">
        <v>154</v>
      </c>
      <c r="AL15" s="3" t="s">
        <v>166</v>
      </c>
      <c r="AM15" s="3" t="s">
        <v>189</v>
      </c>
      <c r="AN15" s="3" t="s">
        <v>48</v>
      </c>
      <c r="AO15" s="3" t="s">
        <v>164</v>
      </c>
      <c r="AP15" s="3" t="s">
        <v>41</v>
      </c>
      <c r="AQ15" s="3" t="s">
        <v>162</v>
      </c>
      <c r="AR15" s="3" t="s">
        <v>153</v>
      </c>
      <c r="AS15" s="3" t="s">
        <v>163</v>
      </c>
      <c r="AT15" t="s">
        <v>161</v>
      </c>
      <c r="AU15" t="s">
        <v>160</v>
      </c>
      <c r="AV15" t="s">
        <v>159</v>
      </c>
      <c r="AW15">
        <v>80</v>
      </c>
      <c r="AX15" t="s">
        <v>158</v>
      </c>
      <c r="AZ15" t="s">
        <v>256</v>
      </c>
      <c r="BA15" t="s">
        <v>223</v>
      </c>
      <c r="BB15" t="s">
        <v>154</v>
      </c>
    </row>
    <row r="16" spans="1:54" x14ac:dyDescent="0.2">
      <c r="A16" t="s">
        <v>58</v>
      </c>
      <c r="B16">
        <v>10</v>
      </c>
      <c r="C16">
        <v>2015</v>
      </c>
      <c r="D16" t="s">
        <v>11</v>
      </c>
      <c r="E16" t="s">
        <v>57</v>
      </c>
      <c r="F16">
        <v>102</v>
      </c>
      <c r="G16">
        <v>103</v>
      </c>
      <c r="H16">
        <v>3</v>
      </c>
      <c r="I16" t="s">
        <v>191</v>
      </c>
      <c r="J16" t="s">
        <v>32</v>
      </c>
      <c r="K16" t="s">
        <v>156</v>
      </c>
      <c r="L16" t="s">
        <v>157</v>
      </c>
      <c r="M16">
        <f>((N16*G16)+(P16*F16))/(G16+F16)</f>
        <v>13.900975609756097</v>
      </c>
      <c r="N16" s="2">
        <v>14.1</v>
      </c>
      <c r="O16" s="2">
        <v>8.1</v>
      </c>
      <c r="P16" s="2">
        <v>13.7</v>
      </c>
      <c r="Q16" s="2">
        <v>7.5</v>
      </c>
      <c r="R16">
        <v>395</v>
      </c>
      <c r="S16" s="16" t="s">
        <v>240</v>
      </c>
      <c r="U16" s="2">
        <v>10</v>
      </c>
      <c r="X16" s="2">
        <v>10</v>
      </c>
      <c r="Y16" t="s">
        <v>264</v>
      </c>
      <c r="Z16" t="s">
        <v>156</v>
      </c>
      <c r="AA16" s="2">
        <v>7.1</v>
      </c>
      <c r="AB16" s="2">
        <v>2.7</v>
      </c>
      <c r="AC16" s="2">
        <v>12.1</v>
      </c>
      <c r="AD16" s="2">
        <v>6.8</v>
      </c>
      <c r="AE16" s="1">
        <f>(AA16-N16)-(AC16-P16)</f>
        <v>-5.4</v>
      </c>
      <c r="AF16" s="1">
        <f>SQRT( (O16^2+AD16^2-2*0.5*O16*AD16)/F16 + (Q16^2+AB16^2-2*0.5*Q16*AB16)/G16 )</f>
        <v>0.9883622259004553</v>
      </c>
      <c r="AG16" s="1">
        <f>_xlfn.T.DIST.2T(ABS(AE16/AF16), F16+G16-2)</f>
        <v>1.3577023481209899E-7</v>
      </c>
      <c r="AH16" s="1"/>
      <c r="AI16" s="1"/>
      <c r="AJ16" s="1" t="s">
        <v>286</v>
      </c>
      <c r="AK16" t="s">
        <v>155</v>
      </c>
      <c r="AL16" s="3" t="s">
        <v>166</v>
      </c>
      <c r="AM16" s="3" t="s">
        <v>189</v>
      </c>
      <c r="AN16" s="3" t="s">
        <v>48</v>
      </c>
      <c r="AO16" s="3" t="s">
        <v>165</v>
      </c>
      <c r="AP16" s="3" t="s">
        <v>41</v>
      </c>
      <c r="AQ16" s="3" t="s">
        <v>162</v>
      </c>
      <c r="AR16" s="3" t="s">
        <v>153</v>
      </c>
      <c r="AS16" s="3" t="s">
        <v>163</v>
      </c>
      <c r="AT16" t="s">
        <v>161</v>
      </c>
      <c r="AU16" t="s">
        <v>160</v>
      </c>
      <c r="AV16" t="s">
        <v>159</v>
      </c>
      <c r="AW16">
        <v>80</v>
      </c>
      <c r="AX16" t="s">
        <v>158</v>
      </c>
      <c r="AZ16" t="s">
        <v>256</v>
      </c>
      <c r="BA16" t="s">
        <v>223</v>
      </c>
      <c r="BB16" t="s">
        <v>155</v>
      </c>
    </row>
    <row r="17" spans="1:55" x14ac:dyDescent="0.2">
      <c r="A17" t="s">
        <v>59</v>
      </c>
      <c r="B17">
        <v>11</v>
      </c>
      <c r="C17">
        <v>2006</v>
      </c>
      <c r="D17" t="s">
        <v>11</v>
      </c>
      <c r="E17" t="s">
        <v>20</v>
      </c>
      <c r="F17">
        <v>128</v>
      </c>
      <c r="G17">
        <v>138</v>
      </c>
      <c r="H17">
        <v>4.5</v>
      </c>
      <c r="I17" t="s">
        <v>191</v>
      </c>
      <c r="J17" t="s">
        <v>32</v>
      </c>
      <c r="K17" t="s">
        <v>167</v>
      </c>
      <c r="L17" t="s">
        <v>84</v>
      </c>
      <c r="M17" s="2">
        <v>11.5</v>
      </c>
      <c r="N17" s="2">
        <v>12.7</v>
      </c>
      <c r="O17" s="2">
        <v>7.3</v>
      </c>
      <c r="P17" s="2">
        <v>10.8</v>
      </c>
      <c r="Q17" s="2">
        <v>5.5</v>
      </c>
      <c r="T17" s="2">
        <v>21.7</v>
      </c>
      <c r="X17">
        <v>14</v>
      </c>
      <c r="Y17" t="s">
        <v>265</v>
      </c>
      <c r="Z17" t="s">
        <v>167</v>
      </c>
      <c r="AA17" s="2" t="s">
        <v>74</v>
      </c>
      <c r="AB17" s="2" t="s">
        <v>74</v>
      </c>
      <c r="AC17" s="2" t="s">
        <v>74</v>
      </c>
      <c r="AD17" s="2" t="s">
        <v>74</v>
      </c>
      <c r="AE17" s="1">
        <v>-0.3</v>
      </c>
      <c r="AF17" s="1">
        <f>((-0.04)-(-0.6))/(2*1.96)</f>
        <v>0.14285714285714285</v>
      </c>
      <c r="AG17" s="1" t="s">
        <v>177</v>
      </c>
      <c r="AH17" s="1">
        <v>-0.6</v>
      </c>
      <c r="AI17" s="1">
        <v>0</v>
      </c>
      <c r="AJ17" s="1" t="s">
        <v>287</v>
      </c>
      <c r="AL17" s="3" t="s">
        <v>171</v>
      </c>
      <c r="AM17" s="3" t="s">
        <v>39</v>
      </c>
      <c r="AN17" s="3" t="s">
        <v>175</v>
      </c>
      <c r="AO17" s="3" t="s">
        <v>176</v>
      </c>
      <c r="AP17" s="3" t="s">
        <v>12</v>
      </c>
      <c r="AQ17" s="3" t="s">
        <v>169</v>
      </c>
      <c r="AR17" s="3" t="s">
        <v>153</v>
      </c>
      <c r="AS17" s="3" t="s">
        <v>88</v>
      </c>
      <c r="AT17" t="s">
        <v>174</v>
      </c>
      <c r="AU17" t="s">
        <v>89</v>
      </c>
      <c r="AV17" t="s">
        <v>170</v>
      </c>
      <c r="AW17">
        <v>90</v>
      </c>
      <c r="AY17" t="s">
        <v>173</v>
      </c>
      <c r="AZ17" t="s">
        <v>257</v>
      </c>
      <c r="BA17" t="s">
        <v>223</v>
      </c>
      <c r="BB17" t="s">
        <v>172</v>
      </c>
    </row>
    <row r="18" spans="1:55" ht="23" customHeight="1" x14ac:dyDescent="0.2">
      <c r="A18" t="s">
        <v>19</v>
      </c>
      <c r="B18">
        <v>12</v>
      </c>
      <c r="C18">
        <v>2011</v>
      </c>
      <c r="D18" t="s">
        <v>194</v>
      </c>
      <c r="E18" t="s">
        <v>23</v>
      </c>
      <c r="F18">
        <v>117</v>
      </c>
      <c r="G18">
        <v>103</v>
      </c>
      <c r="H18">
        <v>15</v>
      </c>
      <c r="I18" t="s">
        <v>191</v>
      </c>
      <c r="J18" t="s">
        <v>32</v>
      </c>
      <c r="K18" t="s">
        <v>26</v>
      </c>
      <c r="L18">
        <f>((52*103)+(62*117))/(103+117)</f>
        <v>57.31818181818182</v>
      </c>
      <c r="M18">
        <f t="shared" ref="M18:M20" si="1">((N18*G18)+(P18*F18))/(G18+F18)</f>
        <v>10.13409090909091</v>
      </c>
      <c r="N18" s="8">
        <v>10.4</v>
      </c>
      <c r="O18" s="8">
        <v>6.7</v>
      </c>
      <c r="P18" s="8">
        <v>9.9</v>
      </c>
      <c r="Q18" s="8">
        <v>6.3</v>
      </c>
      <c r="R18">
        <v>200</v>
      </c>
      <c r="S18" s="20" t="s">
        <v>244</v>
      </c>
      <c r="X18">
        <v>75</v>
      </c>
      <c r="Y18" t="s">
        <v>262</v>
      </c>
      <c r="Z18" t="s">
        <v>26</v>
      </c>
      <c r="AA18" s="8">
        <v>6.4</v>
      </c>
      <c r="AB18" s="8">
        <v>4.8</v>
      </c>
      <c r="AC18" s="8">
        <v>7.5</v>
      </c>
      <c r="AD18" s="8">
        <v>4.5999999999999996</v>
      </c>
      <c r="AE18" s="23">
        <f>-4--2.3</f>
        <v>-1.7000000000000002</v>
      </c>
      <c r="AF18" s="9">
        <f>SQRT( ((AB18^2+O18^2-2*0.5*AB18*O18)/G18) + ((AD18^2+Q18^2-2*0.5*AD18*Q18)/F18) )</f>
        <v>0.78719420462248113</v>
      </c>
      <c r="AG18" s="9">
        <f>_xlfn.T.DIST.2T(ABS(AE18/AF18), F18+G18-2)</f>
        <v>3.1897486781672778E-2</v>
      </c>
      <c r="AH18" s="9"/>
      <c r="AI18" s="9"/>
      <c r="AJ18" s="22" t="s">
        <v>290</v>
      </c>
      <c r="AK18" s="13" t="s">
        <v>274</v>
      </c>
      <c r="AL18" t="s">
        <v>196</v>
      </c>
      <c r="AM18" s="10" t="s">
        <v>189</v>
      </c>
      <c r="AN18" s="10" t="s">
        <v>51</v>
      </c>
      <c r="AO18" s="10" t="s">
        <v>54</v>
      </c>
      <c r="AP18" s="10" t="s">
        <v>42</v>
      </c>
      <c r="AQ18" s="10" t="s">
        <v>55</v>
      </c>
      <c r="AR18" s="10" t="s">
        <v>37</v>
      </c>
      <c r="AS18" s="10" t="s">
        <v>197</v>
      </c>
      <c r="AT18" t="s">
        <v>199</v>
      </c>
      <c r="AU18" s="11" t="s">
        <v>200</v>
      </c>
      <c r="AV18" s="11" t="s">
        <v>201</v>
      </c>
      <c r="AW18">
        <v>60</v>
      </c>
      <c r="AX18" t="s">
        <v>195</v>
      </c>
      <c r="AY18" t="s">
        <v>225</v>
      </c>
      <c r="AZ18" t="s">
        <v>258</v>
      </c>
      <c r="BA18" s="13" t="s">
        <v>222</v>
      </c>
      <c r="BB18" s="13" t="s">
        <v>204</v>
      </c>
      <c r="BC18" s="13"/>
    </row>
    <row r="19" spans="1:55" ht="23" customHeight="1" x14ac:dyDescent="0.2">
      <c r="A19" t="s">
        <v>19</v>
      </c>
      <c r="B19">
        <v>12</v>
      </c>
      <c r="C19">
        <v>2011</v>
      </c>
      <c r="D19" t="s">
        <v>194</v>
      </c>
      <c r="E19" t="s">
        <v>23</v>
      </c>
      <c r="F19">
        <v>117</v>
      </c>
      <c r="G19">
        <v>138</v>
      </c>
      <c r="H19">
        <v>15</v>
      </c>
      <c r="I19" t="s">
        <v>191</v>
      </c>
      <c r="J19" t="s">
        <v>32</v>
      </c>
      <c r="K19" t="s">
        <v>26</v>
      </c>
      <c r="L19">
        <f>((70*138)+(62*117))/(138+117)</f>
        <v>66.329411764705881</v>
      </c>
      <c r="M19">
        <f t="shared" si="1"/>
        <v>11.361176470588235</v>
      </c>
      <c r="N19" s="8">
        <v>12.6</v>
      </c>
      <c r="O19" s="8">
        <v>9.3000000000000007</v>
      </c>
      <c r="P19" s="8">
        <v>9.9</v>
      </c>
      <c r="Q19" s="8">
        <v>6.3</v>
      </c>
      <c r="R19">
        <v>200</v>
      </c>
      <c r="S19" s="8" t="s">
        <v>245</v>
      </c>
      <c r="X19">
        <v>75</v>
      </c>
      <c r="Y19" t="s">
        <v>262</v>
      </c>
      <c r="Z19" t="s">
        <v>26</v>
      </c>
      <c r="AA19" s="8">
        <v>9.8000000000000007</v>
      </c>
      <c r="AB19" s="8">
        <v>7.9</v>
      </c>
      <c r="AC19" s="8">
        <v>7.5</v>
      </c>
      <c r="AD19" s="8">
        <v>4.5999999999999996</v>
      </c>
      <c r="AE19" s="9">
        <f>-2.8--2.3</f>
        <v>-0.5</v>
      </c>
      <c r="AF19" s="9">
        <f>SQRT( ((AB19^2+O19^2-2*0.5*AB19*O19)/G19) + ((AD19^2+Q19^2-2*0.5*AD19*Q19)/F19) )</f>
        <v>0.90497920710462354</v>
      </c>
      <c r="AG19" s="9">
        <f>_xlfn.T.DIST.2T(ABS(AE19/AF19), F19+G19-2)</f>
        <v>0.58109437699116651</v>
      </c>
      <c r="AH19" s="9"/>
      <c r="AI19" s="9"/>
      <c r="AJ19" s="22" t="s">
        <v>290</v>
      </c>
      <c r="AK19" s="13" t="s">
        <v>273</v>
      </c>
      <c r="AL19" t="s">
        <v>196</v>
      </c>
      <c r="AM19" s="10" t="s">
        <v>189</v>
      </c>
      <c r="AN19" s="10" t="s">
        <v>48</v>
      </c>
      <c r="AO19" s="10" t="s">
        <v>52</v>
      </c>
      <c r="AP19" s="10" t="s">
        <v>42</v>
      </c>
      <c r="AQ19" s="10" t="s">
        <v>42</v>
      </c>
      <c r="AR19" s="10" t="s">
        <v>37</v>
      </c>
      <c r="AS19" s="10" t="s">
        <v>198</v>
      </c>
      <c r="AT19" t="s">
        <v>199</v>
      </c>
      <c r="AU19" s="11" t="s">
        <v>200</v>
      </c>
      <c r="AV19" s="11" t="s">
        <v>201</v>
      </c>
      <c r="AW19">
        <v>60</v>
      </c>
      <c r="AX19" t="s">
        <v>195</v>
      </c>
      <c r="AY19" t="s">
        <v>226</v>
      </c>
      <c r="AZ19" t="s">
        <v>258</v>
      </c>
      <c r="BA19" s="13" t="s">
        <v>202</v>
      </c>
      <c r="BB19" s="13" t="s">
        <v>203</v>
      </c>
      <c r="BC19" s="13"/>
    </row>
    <row r="20" spans="1:55" ht="28" customHeight="1" x14ac:dyDescent="0.2">
      <c r="A20" t="s">
        <v>206</v>
      </c>
      <c r="B20">
        <v>13</v>
      </c>
      <c r="C20">
        <v>2016</v>
      </c>
      <c r="D20" t="s">
        <v>11</v>
      </c>
      <c r="E20" t="s">
        <v>205</v>
      </c>
      <c r="F20">
        <v>102</v>
      </c>
      <c r="G20">
        <v>99</v>
      </c>
      <c r="H20">
        <v>6.4</v>
      </c>
      <c r="I20" t="s">
        <v>191</v>
      </c>
      <c r="J20" t="s">
        <v>32</v>
      </c>
      <c r="K20" t="s">
        <v>208</v>
      </c>
      <c r="L20">
        <v>40</v>
      </c>
      <c r="M20">
        <f t="shared" si="1"/>
        <v>4.0644776119402986</v>
      </c>
      <c r="N20" s="2">
        <v>4.0999999999999996</v>
      </c>
      <c r="O20" s="2">
        <v>1.4038853686257999</v>
      </c>
      <c r="P20" s="2">
        <v>4.03</v>
      </c>
      <c r="Q20" s="2">
        <v>1.3491591373418921</v>
      </c>
      <c r="T20" s="2">
        <v>32</v>
      </c>
      <c r="U20" s="12">
        <v>21</v>
      </c>
      <c r="V20" s="2">
        <v>11.5</v>
      </c>
      <c r="W20" s="2">
        <v>17</v>
      </c>
      <c r="X20" s="12">
        <v>21</v>
      </c>
      <c r="Y20" t="s">
        <v>266</v>
      </c>
      <c r="Z20" t="s">
        <v>208</v>
      </c>
      <c r="AA20" s="2">
        <v>3.3</v>
      </c>
      <c r="AB20" s="2">
        <v>0.92756711855633145</v>
      </c>
      <c r="AC20" s="2">
        <v>3.66</v>
      </c>
      <c r="AD20" s="2">
        <v>0.99277747842139197</v>
      </c>
      <c r="AE20" s="9">
        <f>(AA20-N20)-(AC20-P20)</f>
        <v>-0.42999999999999972</v>
      </c>
      <c r="AF20" s="9">
        <f>SQRT(
  ((4.4-3.84)/(2*1.96))^2 + ((3.48-3.11)/(2*1.96))^2 - 2*0.5*((4.4-3.84)/(2*1.96))*((3.48-3.11)/(2*1.96))
+ ((4.31-3.78)/(2*1.96))^2 + ((3.86-3.47)/(2*1.96))^2 - 2*0.5*((4.31-3.78)/(2*1.96))*((3.86-3.47)/(2*1.96))
)</f>
        <v>0.17481471121440631</v>
      </c>
      <c r="AG20" s="9">
        <f>_xlfn.T.DIST.2T(ABS(AE20/AF20), F20+G20-2)</f>
        <v>1.4756720811154457E-2</v>
      </c>
      <c r="AH20" s="1"/>
      <c r="AI20" s="1"/>
      <c r="AJ20" s="22" t="s">
        <v>280</v>
      </c>
      <c r="AK20" t="s">
        <v>275</v>
      </c>
      <c r="AL20" s="3" t="s">
        <v>209</v>
      </c>
      <c r="AM20" s="3" t="s">
        <v>38</v>
      </c>
      <c r="AN20" s="3" t="s">
        <v>210</v>
      </c>
      <c r="AO20" s="3" t="s">
        <v>228</v>
      </c>
      <c r="AP20" t="s">
        <v>211</v>
      </c>
      <c r="AQ20" s="3" t="s">
        <v>212</v>
      </c>
      <c r="AR20" s="3" t="s">
        <v>153</v>
      </c>
      <c r="AS20" s="3" t="s">
        <v>88</v>
      </c>
      <c r="AT20" s="14" t="s">
        <v>213</v>
      </c>
      <c r="AU20" s="14" t="s">
        <v>89</v>
      </c>
      <c r="AV20" s="14" t="s">
        <v>214</v>
      </c>
      <c r="AW20">
        <v>97</v>
      </c>
      <c r="AX20" s="15" t="s">
        <v>215</v>
      </c>
      <c r="AY20" t="s">
        <v>227</v>
      </c>
      <c r="AZ20" t="s">
        <v>207</v>
      </c>
      <c r="BA20" s="13" t="s">
        <v>207</v>
      </c>
      <c r="BB20" s="13" t="s">
        <v>237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All variables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Theodore Mitchell (tmitchell@CGDEV.ORG)</dc:creator>
  <cp:lastModifiedBy>Theo Mitchell</cp:lastModifiedBy>
  <dcterms:created xsi:type="dcterms:W3CDTF">2025-03-03T15:42:13Z</dcterms:created>
  <dcterms:modified xsi:type="dcterms:W3CDTF">2026-05-13T14:19:22Z</dcterms:modified>
</cp:coreProperties>
</file>